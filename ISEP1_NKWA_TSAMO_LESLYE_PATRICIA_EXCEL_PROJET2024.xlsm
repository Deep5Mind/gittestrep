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ebp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bookViews>
    <workbookView xWindow="0" yWindow="0" windowWidth="19200" windowHeight="6350" tabRatio="883" activeTab="3"/>
  </bookViews>
  <sheets>
    <sheet name="beneficiary_interface" sheetId="14" r:id="rId1"/>
    <sheet name="service_interface" sheetId="9" r:id="rId2"/>
    <sheet name="beneficiary_database" sheetId="11" r:id="rId3"/>
    <sheet name="service_database" sheetId="13" r:id="rId4"/>
    <sheet name="Mutual_list" sheetId="5" r:id="rId5"/>
    <sheet name="sheet " sheetId="2" r:id="rId6"/>
    <sheet name="traitement " sheetId="16" r:id="rId7"/>
    <sheet name="tableau de bord" sheetId="17" r:id="rId8"/>
  </sheets>
  <definedNames>
    <definedName name="_xlnm._FilterDatabase" localSheetId="2" hidden="1">beneficiary_database!$E$5:$E$69</definedName>
    <definedName name="_xlnm._FilterDatabase" localSheetId="3" hidden="1">service_database!$A$5:$L$65</definedName>
    <definedName name="beneficiary_database">dtbasebnf[#All]</definedName>
    <definedName name="cell_1">service_interface!$C$11</definedName>
    <definedName name="cell_10">service_interface!$F$24</definedName>
    <definedName name="cell_11">service_interface!$F$26</definedName>
    <definedName name="cell_12">service_interface!$F$11</definedName>
    <definedName name="cell_13">service_interface!$V$89</definedName>
    <definedName name="cell_2">service_interface!$C$16</definedName>
    <definedName name="cell_3">service_interface!$C$18</definedName>
    <definedName name="cell_4">service_interface!$C$20</definedName>
    <definedName name="cell_5">service_interface!$F$16</definedName>
    <definedName name="cell_6">service_interface!$C$22</definedName>
    <definedName name="cell_7">service_interface!$F$18</definedName>
    <definedName name="cell_8">service_interface!$F$20</definedName>
    <definedName name="cell_9">service_interface!$F$22</definedName>
    <definedName name="cell1">beneficiary_interface!$C$10</definedName>
    <definedName name="cell10">beneficiary_interface!$C$31</definedName>
    <definedName name="cell11">beneficiary_interface!$C$33</definedName>
    <definedName name="cell12">beneficiary_interface!$C$35</definedName>
    <definedName name="cell13">beneficiary_interface!$C$37</definedName>
    <definedName name="cell14">beneficiary_interface!$C$39</definedName>
    <definedName name="cell15">beneficiary_interface!$F$21</definedName>
    <definedName name="cell16">beneficiary_interface!$F$23</definedName>
    <definedName name="cell17">beneficiary_interface!$F$25</definedName>
    <definedName name="cell18">beneficiary_interface!$F$27</definedName>
    <definedName name="cell19">beneficiary_interface!$F$29</definedName>
    <definedName name="cell2">beneficiary_interface!$C$14</definedName>
    <definedName name="cell20">beneficiary_interface!$F$10</definedName>
    <definedName name="cell21">beneficiary_interface!$H$61</definedName>
    <definedName name="cell3">beneficiary_interface!$C$16</definedName>
    <definedName name="cell4">beneficiary_interface!$F$14</definedName>
    <definedName name="cell5">beneficiary_interface!$C$21</definedName>
    <definedName name="cell6">beneficiary_interface!$C$23</definedName>
    <definedName name="cell7">beneficiary_interface!$C$25</definedName>
    <definedName name="cell8">beneficiary_interface!$C$27</definedName>
    <definedName name="cell9">beneficiary_interface!$C$29</definedName>
    <definedName name="Dakar">'sheet '!$C$3:$C$7</definedName>
    <definedName name="Diourbel">'sheet '!$D$3:$D$5</definedName>
    <definedName name="_xlnm.Extract" localSheetId="2">beneficiary_database!#REF!</definedName>
    <definedName name="_xlnm.Extract" localSheetId="3">service_database!$P$5</definedName>
    <definedName name="Fatick">'sheet '!$E$3:$E$5</definedName>
    <definedName name="ident">dtbasebnf[Identifiant]</definedName>
    <definedName name="Kaffrine">'sheet '!$F$3:$F$6</definedName>
    <definedName name="Kaolack">'sheet '!$H$3:$H$5</definedName>
    <definedName name="Kédougou">'sheet '!$G$3:$G$5</definedName>
    <definedName name="Kolda">'sheet '!$I$3:$I$5</definedName>
    <definedName name="Louga">'sheet '!$J$3:$J$5</definedName>
    <definedName name="Matam">'sheet '!$K$3:$K$5</definedName>
    <definedName name="Mutuelles">Tableau5[LISTE DES MUTUELLES]</definedName>
    <definedName name="region">'sheet '!$C$2:$P$2</definedName>
    <definedName name="Saint_Louis">'sheet '!$N$3:$N$5</definedName>
    <definedName name="SaintLouis">'sheet '!$N$3:$N$5</definedName>
    <definedName name="Sédhiou">'sheet '!$O$3:$O$5</definedName>
    <definedName name="Tambacounda">'sheet '!$L$3:$L$6</definedName>
    <definedName name="Thiès">'sheet '!$M$3:$M$5</definedName>
    <definedName name="Ziguinchor">'sheet '!$P$3:$P$5</definedName>
  </definedNames>
  <calcPr calcId="162913"/>
  <pivotCaches>
    <pivotCache cacheId="12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6" i="9" l="1"/>
  <c r="F20" i="9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K52" i="13"/>
  <c r="K53" i="13"/>
  <c r="K54" i="13"/>
  <c r="K55" i="13"/>
  <c r="K56" i="13"/>
  <c r="K57" i="13"/>
  <c r="K58" i="13"/>
  <c r="K59" i="13"/>
  <c r="K60" i="13"/>
  <c r="K61" i="13"/>
  <c r="K62" i="13"/>
  <c r="K63" i="13"/>
  <c r="K64" i="13"/>
  <c r="A8" i="17"/>
</calcChain>
</file>

<file path=xl/comments1.xml><?xml version="1.0" encoding="utf-8"?>
<comments xmlns="http://schemas.openxmlformats.org/spreadsheetml/2006/main">
  <authors>
    <author>HP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Vous pouvez editer la liste de mutuelles 
</t>
        </r>
      </text>
    </comment>
  </commentList>
</comments>
</file>

<file path=xl/sharedStrings.xml><?xml version="1.0" encoding="utf-8"?>
<sst xmlns="http://schemas.openxmlformats.org/spreadsheetml/2006/main" count="1347" uniqueCount="368">
  <si>
    <t>Dakar</t>
  </si>
  <si>
    <t>Diourbel</t>
  </si>
  <si>
    <t>Fatick</t>
  </si>
  <si>
    <t>Kaffrine</t>
  </si>
  <si>
    <t>Kaolack</t>
  </si>
  <si>
    <t>Kédougou</t>
  </si>
  <si>
    <t>Kolda</t>
  </si>
  <si>
    <t>Louga</t>
  </si>
  <si>
    <t>Matam</t>
  </si>
  <si>
    <t>Tambacounda</t>
  </si>
  <si>
    <t>Thiès</t>
  </si>
  <si>
    <t>Ziguinchor</t>
  </si>
  <si>
    <t>annee</t>
  </si>
  <si>
    <t>Pikine</t>
  </si>
  <si>
    <r>
      <t>Rufi</t>
    </r>
    <r>
      <rPr>
        <sz val="12"/>
        <color theme="1"/>
        <rFont val="Calibri"/>
        <family val="2"/>
        <scheme val="minor"/>
      </rPr>
      <t>sque</t>
    </r>
  </si>
  <si>
    <t>Guédiawaye</t>
  </si>
  <si>
    <t>Keur Massar</t>
  </si>
  <si>
    <t>Bambey</t>
  </si>
  <si>
    <t>Mbacké</t>
  </si>
  <si>
    <t>Foundiougne</t>
  </si>
  <si>
    <t>Gossas</t>
  </si>
  <si>
    <t>Birkelane</t>
  </si>
  <si>
    <t>Koungheul</t>
  </si>
  <si>
    <t>Malem-Hodar</t>
  </si>
  <si>
    <t xml:space="preserve">Nioro du Rip </t>
  </si>
  <si>
    <t xml:space="preserve">Guinguinéo </t>
  </si>
  <si>
    <t>Salemata</t>
  </si>
  <si>
    <t>Saraya</t>
  </si>
  <si>
    <t>Vélingara</t>
  </si>
  <si>
    <t xml:space="preserve">Médina Yoro Foulah </t>
  </si>
  <si>
    <t>Kébémer</t>
  </si>
  <si>
    <t>Linguère</t>
  </si>
  <si>
    <t xml:space="preserve">Kanel </t>
  </si>
  <si>
    <t xml:space="preserve">Matam </t>
  </si>
  <si>
    <t xml:space="preserve">Ranérou </t>
  </si>
  <si>
    <t>Dagana</t>
  </si>
  <si>
    <t>Podor</t>
  </si>
  <si>
    <t xml:space="preserve">Sédhiou </t>
  </si>
  <si>
    <t xml:space="preserve">Bounkiling </t>
  </si>
  <si>
    <t>Goudoump</t>
  </si>
  <si>
    <t>Bakel</t>
  </si>
  <si>
    <t>Goudiry</t>
  </si>
  <si>
    <t>Koumpentoum</t>
  </si>
  <si>
    <t>M'bour</t>
  </si>
  <si>
    <t xml:space="preserve">Thiès </t>
  </si>
  <si>
    <t>Tivaouane</t>
  </si>
  <si>
    <t>Bignona</t>
  </si>
  <si>
    <t>Oussouye</t>
  </si>
  <si>
    <t>Sexe</t>
  </si>
  <si>
    <t>Date de naissance</t>
  </si>
  <si>
    <t>Mois de cotisation</t>
  </si>
  <si>
    <t>Année de cotisation</t>
  </si>
  <si>
    <t>Montant de la cotisation</t>
  </si>
  <si>
    <t xml:space="preserve">Statut </t>
  </si>
  <si>
    <t xml:space="preserve">Type d'affiliation au régime </t>
  </si>
  <si>
    <t xml:space="preserve">Niveau de prise en charge </t>
  </si>
  <si>
    <t>Region</t>
  </si>
  <si>
    <t>Département</t>
  </si>
  <si>
    <t>Nom de la mutuelle de santé</t>
  </si>
  <si>
    <t>Transfert gouvernemental</t>
  </si>
  <si>
    <t>STRUCTURE MUTUALISTE</t>
  </si>
  <si>
    <t>SantéPlus</t>
  </si>
  <si>
    <t>OptiCare</t>
  </si>
  <si>
    <t>Harmonie Santé</t>
  </si>
  <si>
    <t>MediShield</t>
  </si>
  <si>
    <t>Familiale ProSanté</t>
  </si>
  <si>
    <t>UniCare Assurance</t>
  </si>
  <si>
    <t>HealthGuard</t>
  </si>
  <si>
    <t>CareFirst</t>
  </si>
  <si>
    <t>FlexiHealth</t>
  </si>
  <si>
    <t>MutualSécurité</t>
  </si>
  <si>
    <t>PrimaSanté</t>
  </si>
  <si>
    <t xml:space="preserve"> Zenith Mutualité</t>
  </si>
  <si>
    <t>SafeHealth</t>
  </si>
  <si>
    <t>ShieldCare</t>
  </si>
  <si>
    <t>Lien avec l'assuré principal</t>
  </si>
  <si>
    <t>Sédhiou</t>
  </si>
  <si>
    <t>Saint_Louis</t>
  </si>
  <si>
    <t>LISTE DES MUTUELLES</t>
  </si>
  <si>
    <t>Niveau de prise en charge</t>
  </si>
  <si>
    <t>Région</t>
  </si>
  <si>
    <t>Mutuelle de santé</t>
  </si>
  <si>
    <t>Année de saisie</t>
  </si>
  <si>
    <t>annee cotisation</t>
  </si>
  <si>
    <t>Type de prestation</t>
  </si>
  <si>
    <t>Type de structures de prestations</t>
  </si>
  <si>
    <t>Nom du prestataire de la prestation</t>
  </si>
  <si>
    <t>Date de survenance de la prestation</t>
  </si>
  <si>
    <t>Date de règlement de la prestation</t>
  </si>
  <si>
    <t>Coût global de la prestation</t>
  </si>
  <si>
    <t>Coût payé par la Mutuelle </t>
  </si>
  <si>
    <t>Coût à la charge du bénéficiaire</t>
  </si>
  <si>
    <t>Type d'affiliation au régime</t>
  </si>
  <si>
    <t>Date de naissance2</t>
  </si>
  <si>
    <t>ASSURE PRINCIPAL</t>
  </si>
  <si>
    <t xml:space="preserve">   STRUCTURE MUTUALISTE</t>
  </si>
  <si>
    <t>PERSONNE(S) A CHARGE</t>
  </si>
  <si>
    <t>Sexe2</t>
  </si>
  <si>
    <t xml:space="preserve">  PERSONNE A CHARGE</t>
  </si>
  <si>
    <t xml:space="preserve"> ASSURE PRINCIPAL</t>
  </si>
  <si>
    <t>Identifiant</t>
  </si>
  <si>
    <t>Identifiant2</t>
  </si>
  <si>
    <t xml:space="preserve">Durée de séjour </t>
  </si>
  <si>
    <t xml:space="preserve">
</t>
  </si>
  <si>
    <t>Année</t>
  </si>
  <si>
    <t xml:space="preserve">Date de règlement </t>
  </si>
  <si>
    <t xml:space="preserve">Cout global </t>
  </si>
  <si>
    <t xml:space="preserve">Cout payé par la mutuelle </t>
  </si>
  <si>
    <t>Cout à la charge du bénéficiaire</t>
  </si>
  <si>
    <t>Nom du prestataire</t>
  </si>
  <si>
    <t>Date de survenance</t>
  </si>
  <si>
    <t>Durée du séjour</t>
  </si>
  <si>
    <t>Identifiant_agent de saisie</t>
  </si>
  <si>
    <t>ABC</t>
  </si>
  <si>
    <t>4. médicament(pharmacie privée)</t>
  </si>
  <si>
    <t>8. hospitalisation</t>
  </si>
  <si>
    <t>6. acte médical</t>
  </si>
  <si>
    <t>Guinguinéo</t>
  </si>
  <si>
    <t>Kanel</t>
  </si>
  <si>
    <t>Zenith Mutualité</t>
  </si>
  <si>
    <t>ABC_AP_23</t>
  </si>
  <si>
    <t>GHI_AP_7</t>
  </si>
  <si>
    <t>DEF_AP_45</t>
  </si>
  <si>
    <t>ABC_AP_13</t>
  </si>
  <si>
    <t>IJK_AP_9</t>
  </si>
  <si>
    <t>DEF_AP_36</t>
  </si>
  <si>
    <t>LMN_AP_18</t>
  </si>
  <si>
    <t>ABC_AP_5</t>
  </si>
  <si>
    <t>IJK_AP_29</t>
  </si>
  <si>
    <t>LMN_AP_42</t>
  </si>
  <si>
    <t>DEF_AP_31</t>
  </si>
  <si>
    <t>ABC_AP_20</t>
  </si>
  <si>
    <t>LMN_AP_55</t>
  </si>
  <si>
    <t>GHI_AP_10</t>
  </si>
  <si>
    <t>IJK_AP_49</t>
  </si>
  <si>
    <t>DEF_AP_17</t>
  </si>
  <si>
    <t>ABC_AP_40</t>
  </si>
  <si>
    <t>GHI_AP_28</t>
  </si>
  <si>
    <t>IJK_AP_14</t>
  </si>
  <si>
    <t>LMN_AP_33</t>
  </si>
  <si>
    <t>DEF_AP_26</t>
  </si>
  <si>
    <t>ABC_AP_48</t>
  </si>
  <si>
    <t>GHI_AP_39</t>
  </si>
  <si>
    <t>IJK_AP_50</t>
  </si>
  <si>
    <t>DEF_AP_4</t>
  </si>
  <si>
    <t>ABC_AP_57</t>
  </si>
  <si>
    <t>IJK_AP_22</t>
  </si>
  <si>
    <t>LMN_AP_59</t>
  </si>
  <si>
    <t>GHI_AP_3</t>
  </si>
  <si>
    <t>DEF_AP_16</t>
  </si>
  <si>
    <t>ABC_AP_2</t>
  </si>
  <si>
    <t>IJK_AP_47</t>
  </si>
  <si>
    <t>GHI_AP_25</t>
  </si>
  <si>
    <t>LMN_AP_41</t>
  </si>
  <si>
    <t>ABC_AP_19</t>
  </si>
  <si>
    <t>IJK_AP_35</t>
  </si>
  <si>
    <t>GHI_AP_58</t>
  </si>
  <si>
    <t>DEF_AP_11</t>
  </si>
  <si>
    <t>ABC_AP_27</t>
  </si>
  <si>
    <t>IJK_AP_44</t>
  </si>
  <si>
    <t>LMN_AP_53</t>
  </si>
  <si>
    <t>GHI_AP_32</t>
  </si>
  <si>
    <t>ABC_AP_54</t>
  </si>
  <si>
    <t>GHI_AP_6</t>
  </si>
  <si>
    <t>IJK_AP_21</t>
  </si>
  <si>
    <t>DEF_AP_8</t>
  </si>
  <si>
    <t>ABC_AP_46</t>
  </si>
  <si>
    <t>IJK_AP_37</t>
  </si>
  <si>
    <t>LMN_AP_43</t>
  </si>
  <si>
    <t>DEF_AP_30</t>
  </si>
  <si>
    <t>IJK_AP_52</t>
  </si>
  <si>
    <t>GHI_AP_15</t>
  </si>
  <si>
    <t>DEF_PAC_30</t>
  </si>
  <si>
    <t>DEF_PAC_28</t>
  </si>
  <si>
    <t>DEF_PAC_26</t>
  </si>
  <si>
    <t>IJK_PAC_42</t>
  </si>
  <si>
    <t>GHI_PAC_10</t>
  </si>
  <si>
    <t>Homme</t>
  </si>
  <si>
    <t>Femme</t>
  </si>
  <si>
    <t>Février</t>
  </si>
  <si>
    <t>Septembre</t>
  </si>
  <si>
    <t>Août</t>
  </si>
  <si>
    <t>Janvier</t>
  </si>
  <si>
    <t>Juillet</t>
  </si>
  <si>
    <t>Avril</t>
  </si>
  <si>
    <t>Mai</t>
  </si>
  <si>
    <t>Juin</t>
  </si>
  <si>
    <t>Octobre</t>
  </si>
  <si>
    <t>Mars</t>
  </si>
  <si>
    <t>Décembre</t>
  </si>
  <si>
    <t>1. Actif</t>
  </si>
  <si>
    <t>2. Retraité</t>
  </si>
  <si>
    <t>9. Étudiant</t>
  </si>
  <si>
    <t>9. Fonctionnaire</t>
  </si>
  <si>
    <t>9. Indéterminé</t>
  </si>
  <si>
    <t>1. Classiques</t>
  </si>
  <si>
    <t>2. BSF</t>
  </si>
  <si>
    <t>3. CEC</t>
  </si>
  <si>
    <t>4. CMU Eleves</t>
  </si>
  <si>
    <t>5. CMU Daara</t>
  </si>
  <si>
    <t>6. Autre indigent</t>
  </si>
  <si>
    <t>7. Femme enceinte</t>
  </si>
  <si>
    <t>8. Enfant de moins 5 ans</t>
  </si>
  <si>
    <t>9. Assurance-vie</t>
  </si>
  <si>
    <t>9. Assurance habitation</t>
  </si>
  <si>
    <t>9. Assurance automobile</t>
  </si>
  <si>
    <t>9. Assurance santé</t>
  </si>
  <si>
    <t>9. Assurance voyage</t>
  </si>
  <si>
    <t>9. Assurance responsabilité civile</t>
  </si>
  <si>
    <t>1. 80% pour les soins et 50% pour les médicaments</t>
  </si>
  <si>
    <t>2. 100% de prise en charge</t>
  </si>
  <si>
    <t>9. 25% pour les soins et 68% pour les médicaments</t>
  </si>
  <si>
    <t>9. 34% pour les soins et 29% pour les médicaments</t>
  </si>
  <si>
    <t>1. Parent</t>
  </si>
  <si>
    <t>2. Fils/fille</t>
  </si>
  <si>
    <t>5. Sœur/frère</t>
  </si>
  <si>
    <t>3. Cousin/cousine</t>
  </si>
  <si>
    <t>4. Grand parent</t>
  </si>
  <si>
    <t>7. Tante/oncle</t>
  </si>
  <si>
    <t>8. Employé</t>
  </si>
  <si>
    <t>99. Filleul</t>
  </si>
  <si>
    <t>99. Parrain</t>
  </si>
  <si>
    <t>99. Ami</t>
  </si>
  <si>
    <t>99. Marraine</t>
  </si>
  <si>
    <t>99. Connaissance proche</t>
  </si>
  <si>
    <t>GHI_PAC_15</t>
  </si>
  <si>
    <t>ABC_PAC_55</t>
  </si>
  <si>
    <t>GHI_PAC_61</t>
  </si>
  <si>
    <t>ABC_PAC_74</t>
  </si>
  <si>
    <t>IJK_PAC_69</t>
  </si>
  <si>
    <t>DEF_PAC_31</t>
  </si>
  <si>
    <t>DEF_PAC_72</t>
  </si>
  <si>
    <t>LMN_PAC_18</t>
  </si>
  <si>
    <t>ABC_PAC_65</t>
  </si>
  <si>
    <t>IJK_PAC_29</t>
  </si>
  <si>
    <t>LMN_PAC_42</t>
  </si>
  <si>
    <t>DEF_PAC_11</t>
  </si>
  <si>
    <t>ABC_PAC_20</t>
  </si>
  <si>
    <t>LMN_PAC_55</t>
  </si>
  <si>
    <t>IJK_PAC_94</t>
  </si>
  <si>
    <t>DEF_PAC_17</t>
  </si>
  <si>
    <t>ABC_PAC_40</t>
  </si>
  <si>
    <t>GHI_PAC_28</t>
  </si>
  <si>
    <t>IJK_PAC_14</t>
  </si>
  <si>
    <t>LMN_PAC_33</t>
  </si>
  <si>
    <t>ABC_PAC_48</t>
  </si>
  <si>
    <t>GHI_PAC_39</t>
  </si>
  <si>
    <t>DEF_PAC_82</t>
  </si>
  <si>
    <t>IJK_PAC_56</t>
  </si>
  <si>
    <t>DEF_PAC_43</t>
  </si>
  <si>
    <t>ABC_PAC_57</t>
  </si>
  <si>
    <t>IJK_PAC_33</t>
  </si>
  <si>
    <t>LMN_PAC_59</t>
  </si>
  <si>
    <t>GHI_PAC_74</t>
  </si>
  <si>
    <t>DEF_PAC_22</t>
  </si>
  <si>
    <t>ABC_PAC_81</t>
  </si>
  <si>
    <t>IJK_PAC_51</t>
  </si>
  <si>
    <t>GHI_PAC_45</t>
  </si>
  <si>
    <t>LMN_PAC_81</t>
  </si>
  <si>
    <t>IJK_PAC_43</t>
  </si>
  <si>
    <t>ABC_PAC_62</t>
  </si>
  <si>
    <t>IJK_PAC_15</t>
  </si>
  <si>
    <t>GHI_PAC_83</t>
  </si>
  <si>
    <t>DEF_PAC_42</t>
  </si>
  <si>
    <t>DEF_PAC_41</t>
  </si>
  <si>
    <t>IJK_PAC_84</t>
  </si>
  <si>
    <t>LMN_PAC_53</t>
  </si>
  <si>
    <t>GHI_PAC_32</t>
  </si>
  <si>
    <t>IJK_PAC_92</t>
  </si>
  <si>
    <t>ABC_PAC_14</t>
  </si>
  <si>
    <t>GHI_PAC_66</t>
  </si>
  <si>
    <t>IJK_PAC_85</t>
  </si>
  <si>
    <t>DEF_PAC_29</t>
  </si>
  <si>
    <t>ABC_PAC_67</t>
  </si>
  <si>
    <t>IJK_PAC_37</t>
  </si>
  <si>
    <t>LMN_PAC_43</t>
  </si>
  <si>
    <t>IJK_PAC_98</t>
  </si>
  <si>
    <t>IJK_PAC_77</t>
  </si>
  <si>
    <t>IJK_PAC_99</t>
  </si>
  <si>
    <t>GHI</t>
  </si>
  <si>
    <t>DEF</t>
  </si>
  <si>
    <t>IJK</t>
  </si>
  <si>
    <t>LMN</t>
  </si>
  <si>
    <t>1. consultation</t>
  </si>
  <si>
    <t>3. radiologie</t>
  </si>
  <si>
    <t>5. médicaments (formation sanitaire)</t>
  </si>
  <si>
    <t>9. procédure chirurgicale</t>
  </si>
  <si>
    <t>2. analyse</t>
  </si>
  <si>
    <t>7. rééducation</t>
  </si>
  <si>
    <t>Dr. Marie Dubois</t>
  </si>
  <si>
    <t>Dr. Jean-Pierre Leroy</t>
  </si>
  <si>
    <t>Dr. Émilie Lambert</t>
  </si>
  <si>
    <t>Dr. Isabelle Martin</t>
  </si>
  <si>
    <t>Dr. David Mercier</t>
  </si>
  <si>
    <t>Dr. Anne Dupont</t>
  </si>
  <si>
    <t>Dr. Patrick Lefebvre</t>
  </si>
  <si>
    <t>Dr. Sophie Martin</t>
  </si>
  <si>
    <t>Dr. Pauline Leclerc</t>
  </si>
  <si>
    <t>Dr. Louis Dubois</t>
  </si>
  <si>
    <t>Dr. Mathilde Rousseau</t>
  </si>
  <si>
    <t>Dr. Thomas Dupont</t>
  </si>
  <si>
    <t>Dr. Pierre Lefèvre</t>
  </si>
  <si>
    <t>Dr. Charlotte Moreau</t>
  </si>
  <si>
    <t>Dr. Olivier Girard</t>
  </si>
  <si>
    <t>Dr. Nathalie Caron</t>
  </si>
  <si>
    <t>Dr. Lucas Bernard</t>
  </si>
  <si>
    <t>Dr. Juliette Martin</t>
  </si>
  <si>
    <t>Dr. Alexandre Laurent</t>
  </si>
  <si>
    <t>Dr. Camille Dubois</t>
  </si>
  <si>
    <t>Dr. Maxime Lefèvre</t>
  </si>
  <si>
    <t>Dr. Amélie Durand</t>
  </si>
  <si>
    <t>Dr. Antoine Petit</t>
  </si>
  <si>
    <t>Dr. Léa Bertrand</t>
  </si>
  <si>
    <t>Dr. Nicolas Morel</t>
  </si>
  <si>
    <t>Dr. Emma Giraud</t>
  </si>
  <si>
    <t>Dr. Hugo Rousseau</t>
  </si>
  <si>
    <t>Dr. Clara Renard</t>
  </si>
  <si>
    <t>Dr. Thomas Lefebvre</t>
  </si>
  <si>
    <t>Dr. Manon Dubois</t>
  </si>
  <si>
    <t>Dr. Théo Mercier</t>
  </si>
  <si>
    <t>Dr. Laura Simon</t>
  </si>
  <si>
    <t>Dr. Raphaël Lefèvre</t>
  </si>
  <si>
    <t>Dr. Inès Dupont</t>
  </si>
  <si>
    <t>Dr. Louis Renard</t>
  </si>
  <si>
    <t>Dr. Margaux Lambert</t>
  </si>
  <si>
    <t>Dr. Gabriel Durand</t>
  </si>
  <si>
    <t>Dr. Camille Dupuis</t>
  </si>
  <si>
    <t>Dr. Hugo Martin</t>
  </si>
  <si>
    <t>Dr. Zoé Girard</t>
  </si>
  <si>
    <t>Dr. Ethan Lefèvre</t>
  </si>
  <si>
    <t>Dr. Jade Bernard</t>
  </si>
  <si>
    <t>Dr. Victor Moreau</t>
  </si>
  <si>
    <t>Dr. Eva Leroy</t>
  </si>
  <si>
    <t>Dr. Mathis Dubois</t>
  </si>
  <si>
    <t>Dr. Léna Renard</t>
  </si>
  <si>
    <t>Dr. Lucas Giraud</t>
  </si>
  <si>
    <t>Dr. Lola Petit</t>
  </si>
  <si>
    <t>Dr. Jules Rousseau</t>
  </si>
  <si>
    <t>Dr. Zoé Lefèvre</t>
  </si>
  <si>
    <t>Dr. Noah Durand</t>
  </si>
  <si>
    <t>Dr. Emma Bernard</t>
  </si>
  <si>
    <t>Dr. Gabriel Simon</t>
  </si>
  <si>
    <t>Dr. Lina Renard</t>
  </si>
  <si>
    <t>Dr. Adam Girard</t>
  </si>
  <si>
    <t>Dr. Jade Moreau</t>
  </si>
  <si>
    <t>Dr. Nathan Lambert</t>
  </si>
  <si>
    <t>Dr. Léa Dubois</t>
  </si>
  <si>
    <t>Dr. Lucas Lefebvre</t>
  </si>
  <si>
    <t>1. Poste de santé</t>
  </si>
  <si>
    <t>2. Centre de santé</t>
  </si>
  <si>
    <t>3. EPS</t>
  </si>
  <si>
    <t>4. Pharmacies</t>
  </si>
  <si>
    <t>5. Structures privée (A preciser)</t>
  </si>
  <si>
    <t>6. Structure privée confessionnelle</t>
  </si>
  <si>
    <t>9. Clinique spécialisée</t>
  </si>
  <si>
    <t>9. Centre médical universitaire</t>
  </si>
  <si>
    <t>9. Centre de diagnostic</t>
  </si>
  <si>
    <t>9. Centre de réadaptation</t>
  </si>
  <si>
    <t>9. Centre de soins palliatifs</t>
  </si>
  <si>
    <t>9. Centre de santé mobile</t>
  </si>
  <si>
    <t>5. Clinique esthétique</t>
  </si>
  <si>
    <t>9. Centre de recherche en santé</t>
  </si>
  <si>
    <t>9. Maison de retraite médicalisée</t>
  </si>
  <si>
    <t>Étiquettes de lignes</t>
  </si>
  <si>
    <t>(vide)</t>
  </si>
  <si>
    <t>Total général</t>
  </si>
  <si>
    <t>Somme de Montant de la cotisation</t>
  </si>
  <si>
    <t xml:space="preserve">Total des cotisations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</si>
</sst>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&quot;FCFA&quot;* #,##0_-;\-&quot;FCFA&quot;* #,##0_-;_-&quot;FCFA&quot;* &quot;-&quot;_-;_-@_-"/>
    <numFmt numFmtId="164" formatCode="_-[$XOF]\ * #,##0_-;\-[$XOF]\ * #,##0_-;_-[$XOF]\ * &quot;-&quot;_-;_-@_-"/>
  </numFmts>
  <fonts count="2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theme="1"/>
      <name val="Constantia"/>
      <family val="1"/>
    </font>
    <font>
      <sz val="11"/>
      <color rgb="FF375DC9"/>
      <name val="Constantia"/>
      <family val="1"/>
    </font>
    <font>
      <b/>
      <i/>
      <sz val="12"/>
      <color rgb="FF003399"/>
      <name val="Constantia"/>
      <family val="1"/>
    </font>
    <font>
      <b/>
      <sz val="11"/>
      <color theme="0"/>
      <name val="Calibri"/>
      <family val="2"/>
      <scheme val="minor"/>
    </font>
    <font>
      <sz val="12"/>
      <color rgb="FF375DC9"/>
      <name val="Constantia"/>
      <family val="1"/>
    </font>
    <font>
      <b/>
      <i/>
      <sz val="12"/>
      <color rgb="FF375DC9"/>
      <name val="Constantia"/>
      <family val="1"/>
    </font>
    <font>
      <b/>
      <i/>
      <sz val="12"/>
      <name val="Constantia"/>
      <family val="1"/>
    </font>
    <font>
      <sz val="11"/>
      <color theme="7" tint="-0.249977111117893"/>
      <name val="Calibri"/>
      <family val="2"/>
      <scheme val="minor"/>
    </font>
    <font>
      <sz val="48"/>
      <color theme="7" tint="-0.249977111117893"/>
      <name val="Constantia"/>
      <family val="1"/>
    </font>
    <font>
      <sz val="14"/>
      <color theme="7" tint="-0.249977111117893"/>
      <name val="Constantia"/>
      <family val="1"/>
    </font>
    <font>
      <sz val="12"/>
      <color theme="7" tint="-0.249977111117893"/>
      <name val="Constantia"/>
      <family val="1"/>
    </font>
    <font>
      <sz val="11"/>
      <color rgb="FF060A4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B2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3399"/>
      <name val="Calibri"/>
      <family val="2"/>
      <scheme val="minor"/>
    </font>
    <font>
      <sz val="12"/>
      <color rgb="FF003399"/>
      <name val="Calibri"/>
      <family val="2"/>
      <scheme val="minor"/>
    </font>
    <font>
      <sz val="12"/>
      <color rgb="FF003399"/>
      <name val="Calibri"/>
      <scheme val="minor"/>
    </font>
    <font>
      <sz val="11"/>
      <color theme="1"/>
      <name val="Calibri"/>
      <scheme val="minor"/>
    </font>
    <font>
      <sz val="12"/>
      <color theme="1"/>
      <name val="Constantia"/>
      <family val="1"/>
    </font>
  </fonts>
  <fills count="15">
    <fill>
      <patternFill patternType="none"/>
    </fill>
    <fill>
      <patternFill patternType="gray125"/>
    </fill>
    <fill>
      <patternFill patternType="solid">
        <fgColor rgb="FF1EE2DD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375DC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rgb="FF091B2D"/>
        <bgColor indexed="64"/>
      </patternFill>
    </fill>
    <fill>
      <patternFill patternType="solid">
        <fgColor rgb="FF001642"/>
        <bgColor indexed="64"/>
      </patternFill>
    </fill>
    <fill>
      <patternFill patternType="solid">
        <fgColor rgb="FF060A4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3399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ck">
        <color theme="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/>
      <diagonal/>
    </border>
  </borders>
  <cellStyleXfs count="2">
    <xf numFmtId="0" fontId="0" fillId="0" borderId="0"/>
    <xf numFmtId="42" fontId="2" fillId="0" borderId="0" applyFont="0" applyFill="0" applyBorder="0" applyAlignment="0" applyProtection="0"/>
  </cellStyleXfs>
  <cellXfs count="110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0" xfId="0" applyAlignment="1"/>
    <xf numFmtId="0" fontId="4" fillId="0" borderId="0" xfId="0" applyFont="1" applyAlignment="1"/>
    <xf numFmtId="0" fontId="4" fillId="0" borderId="0" xfId="0" applyFont="1"/>
    <xf numFmtId="0" fontId="3" fillId="4" borderId="0" xfId="0" applyFont="1" applyFill="1"/>
    <xf numFmtId="0" fontId="5" fillId="4" borderId="0" xfId="0" applyFont="1" applyFill="1"/>
    <xf numFmtId="0" fontId="7" fillId="0" borderId="0" xfId="0" applyFont="1" applyAlignment="1">
      <alignment horizontal="left" vertical="center" wrapText="1" indent="1"/>
    </xf>
    <xf numFmtId="0" fontId="7" fillId="0" borderId="0" xfId="0" applyFont="1"/>
    <xf numFmtId="0" fontId="0" fillId="0" borderId="0" xfId="0" applyBorder="1" applyAlignment="1"/>
    <xf numFmtId="0" fontId="0" fillId="7" borderId="0" xfId="0" applyFont="1" applyFill="1" applyBorder="1"/>
    <xf numFmtId="0" fontId="0" fillId="0" borderId="0" xfId="0" applyFont="1" applyBorder="1"/>
    <xf numFmtId="0" fontId="0" fillId="7" borderId="3" xfId="0" applyFont="1" applyFill="1" applyBorder="1"/>
    <xf numFmtId="0" fontId="6" fillId="8" borderId="4" xfId="0" applyFont="1" applyFill="1" applyBorder="1"/>
    <xf numFmtId="0" fontId="0" fillId="7" borderId="4" xfId="0" applyFont="1" applyFill="1" applyBorder="1"/>
    <xf numFmtId="0" fontId="0" fillId="0" borderId="0" xfId="0" applyFill="1" applyBorder="1"/>
    <xf numFmtId="0" fontId="6" fillId="0" borderId="0" xfId="0" applyFont="1" applyFill="1" applyBorder="1"/>
    <xf numFmtId="0" fontId="3" fillId="4" borderId="0" xfId="0" applyNumberFormat="1" applyFont="1" applyFill="1" applyAlignment="1">
      <alignment horizontal="right"/>
    </xf>
    <xf numFmtId="0" fontId="3" fillId="4" borderId="0" xfId="0" applyFont="1" applyFill="1" applyAlignment="1">
      <alignment horizontal="right"/>
    </xf>
    <xf numFmtId="0" fontId="3" fillId="4" borderId="0" xfId="0" applyFont="1" applyFill="1" applyBorder="1" applyAlignment="1">
      <alignment horizontal="center"/>
    </xf>
    <xf numFmtId="0" fontId="3" fillId="4" borderId="0" xfId="0" applyNumberFormat="1" applyFont="1" applyFill="1" applyBorder="1" applyAlignment="1">
      <alignment horizontal="right"/>
    </xf>
    <xf numFmtId="0" fontId="3" fillId="4" borderId="0" xfId="0" applyFont="1" applyFill="1" applyBorder="1"/>
    <xf numFmtId="0" fontId="3" fillId="4" borderId="0" xfId="0" applyFont="1" applyFill="1" applyBorder="1" applyAlignment="1">
      <alignment horizontal="right"/>
    </xf>
    <xf numFmtId="0" fontId="3" fillId="2" borderId="0" xfId="0" applyFont="1" applyFill="1"/>
    <xf numFmtId="0" fontId="5" fillId="4" borderId="0" xfId="0" applyFont="1" applyFill="1" applyBorder="1"/>
    <xf numFmtId="0" fontId="5" fillId="4" borderId="0" xfId="0" applyNumberFormat="1" applyFont="1" applyFill="1" applyAlignment="1">
      <alignment horizontal="right"/>
    </xf>
    <xf numFmtId="0" fontId="5" fillId="4" borderId="0" xfId="0" applyFont="1" applyFill="1" applyBorder="1" applyAlignment="1">
      <alignment horizontal="right"/>
    </xf>
    <xf numFmtId="0" fontId="8" fillId="4" borderId="0" xfId="0" applyFont="1" applyFill="1"/>
    <xf numFmtId="0" fontId="3" fillId="2" borderId="0" xfId="0" applyFont="1" applyFill="1" applyBorder="1"/>
    <xf numFmtId="0" fontId="3" fillId="6" borderId="0" xfId="0" applyNumberFormat="1" applyFont="1" applyFill="1" applyBorder="1" applyAlignment="1">
      <alignment horizontal="right"/>
    </xf>
    <xf numFmtId="0" fontId="3" fillId="2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right"/>
    </xf>
    <xf numFmtId="0" fontId="3" fillId="2" borderId="0" xfId="0" applyNumberFormat="1" applyFont="1" applyFill="1" applyBorder="1" applyAlignment="1">
      <alignment horizontal="right"/>
    </xf>
    <xf numFmtId="0" fontId="5" fillId="4" borderId="0" xfId="0" applyFont="1" applyFill="1" applyAlignment="1"/>
    <xf numFmtId="0" fontId="3" fillId="2" borderId="0" xfId="0" applyFont="1" applyFill="1" applyAlignment="1"/>
    <xf numFmtId="0" fontId="3" fillId="2" borderId="0" xfId="0" applyFont="1" applyFill="1" applyAlignment="1">
      <alignment horizontal="right"/>
    </xf>
    <xf numFmtId="0" fontId="3" fillId="4" borderId="0" xfId="0" applyFont="1" applyFill="1" applyAlignment="1"/>
    <xf numFmtId="0" fontId="9" fillId="2" borderId="0" xfId="0" applyFont="1" applyFill="1" applyBorder="1" applyAlignment="1">
      <alignment horizontal="left" vertical="top"/>
    </xf>
    <xf numFmtId="0" fontId="9" fillId="2" borderId="0" xfId="0" applyFont="1" applyFill="1" applyBorder="1" applyAlignment="1">
      <alignment horizontal="right" vertical="top"/>
    </xf>
    <xf numFmtId="14" fontId="3" fillId="6" borderId="0" xfId="0" applyNumberFormat="1" applyFont="1" applyFill="1" applyBorder="1" applyAlignment="1">
      <alignment horizontal="right"/>
    </xf>
    <xf numFmtId="1" fontId="3" fillId="6" borderId="0" xfId="0" applyNumberFormat="1" applyFont="1" applyFill="1" applyBorder="1" applyAlignment="1">
      <alignment horizontal="right"/>
    </xf>
    <xf numFmtId="42" fontId="3" fillId="2" borderId="0" xfId="1" applyNumberFormat="1" applyFont="1" applyFill="1" applyBorder="1" applyAlignment="1">
      <alignment horizontal="center"/>
    </xf>
    <xf numFmtId="0" fontId="3" fillId="2" borderId="0" xfId="1" applyNumberFormat="1" applyFont="1" applyFill="1" applyBorder="1" applyAlignment="1">
      <alignment horizontal="right"/>
    </xf>
    <xf numFmtId="42" fontId="3" fillId="2" borderId="0" xfId="1" applyFont="1" applyFill="1" applyBorder="1" applyAlignment="1">
      <alignment horizontal="center"/>
    </xf>
    <xf numFmtId="0" fontId="8" fillId="3" borderId="0" xfId="0" applyFont="1" applyFill="1" applyBorder="1"/>
    <xf numFmtId="0" fontId="3" fillId="3" borderId="0" xfId="0" applyFont="1" applyFill="1" applyBorder="1"/>
    <xf numFmtId="0" fontId="8" fillId="3" borderId="0" xfId="0" applyNumberFormat="1" applyFont="1" applyFill="1" applyBorder="1" applyAlignment="1">
      <alignment horizontal="right"/>
    </xf>
    <xf numFmtId="0" fontId="8" fillId="3" borderId="0" xfId="0" applyFont="1" applyFill="1"/>
    <xf numFmtId="0" fontId="8" fillId="3" borderId="0" xfId="0" applyFont="1" applyFill="1" applyBorder="1" applyAlignment="1">
      <alignment horizontal="right"/>
    </xf>
    <xf numFmtId="0" fontId="3" fillId="3" borderId="0" xfId="0" applyFont="1" applyFill="1" applyBorder="1" applyAlignment="1">
      <alignment horizontal="center"/>
    </xf>
    <xf numFmtId="0" fontId="3" fillId="3" borderId="0" xfId="0" applyFont="1" applyFill="1"/>
    <xf numFmtId="0" fontId="3" fillId="3" borderId="0" xfId="0" applyFont="1" applyFill="1" applyBorder="1" applyAlignment="1">
      <alignment horizontal="right"/>
    </xf>
    <xf numFmtId="0" fontId="3" fillId="3" borderId="0" xfId="0" applyNumberFormat="1" applyFont="1" applyFill="1" applyBorder="1" applyAlignment="1">
      <alignment horizontal="right"/>
    </xf>
    <xf numFmtId="0" fontId="10" fillId="10" borderId="0" xfId="0" applyFont="1" applyFill="1" applyBorder="1" applyAlignment="1">
      <alignment horizontal="center"/>
    </xf>
    <xf numFmtId="0" fontId="12" fillId="10" borderId="0" xfId="0" applyFont="1" applyFill="1" applyBorder="1" applyAlignment="1">
      <alignment horizontal="center"/>
    </xf>
    <xf numFmtId="0" fontId="12" fillId="11" borderId="0" xfId="0" applyFont="1" applyFill="1" applyBorder="1" applyAlignment="1">
      <alignment horizontal="center"/>
    </xf>
    <xf numFmtId="0" fontId="10" fillId="9" borderId="0" xfId="0" applyFont="1" applyFill="1" applyBorder="1" applyAlignment="1">
      <alignment horizontal="center"/>
    </xf>
    <xf numFmtId="14" fontId="10" fillId="9" borderId="0" xfId="0" applyNumberFormat="1" applyFont="1" applyFill="1" applyBorder="1" applyAlignment="1">
      <alignment horizontal="center"/>
    </xf>
    <xf numFmtId="0" fontId="11" fillId="9" borderId="0" xfId="0" applyFont="1" applyFill="1" applyBorder="1" applyAlignment="1">
      <alignment horizontal="center"/>
    </xf>
    <xf numFmtId="0" fontId="13" fillId="11" borderId="0" xfId="0" applyFont="1" applyFill="1" applyBorder="1" applyAlignment="1">
      <alignment horizontal="center"/>
    </xf>
    <xf numFmtId="0" fontId="10" fillId="11" borderId="0" xfId="0" applyFont="1" applyFill="1" applyBorder="1" applyAlignment="1">
      <alignment horizontal="center"/>
    </xf>
    <xf numFmtId="0" fontId="13" fillId="10" borderId="0" xfId="0" applyFont="1" applyFill="1" applyBorder="1" applyAlignment="1">
      <alignment horizontal="center"/>
    </xf>
    <xf numFmtId="0" fontId="16" fillId="9" borderId="0" xfId="0" applyFont="1" applyFill="1" applyBorder="1" applyAlignment="1">
      <alignment horizontal="center"/>
    </xf>
    <xf numFmtId="0" fontId="15" fillId="12" borderId="0" xfId="0" applyFont="1" applyFill="1" applyBorder="1" applyAlignment="1">
      <alignment horizontal="center"/>
    </xf>
    <xf numFmtId="0" fontId="14" fillId="12" borderId="0" xfId="0" applyFont="1" applyFill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wrapText="1"/>
    </xf>
    <xf numFmtId="0" fontId="3" fillId="4" borderId="0" xfId="0" applyFont="1" applyFill="1" applyAlignment="1"/>
    <xf numFmtId="0" fontId="0" fillId="5" borderId="0" xfId="0" applyFill="1"/>
    <xf numFmtId="0" fontId="0" fillId="13" borderId="0" xfId="0" applyFill="1"/>
    <xf numFmtId="0" fontId="0" fillId="13" borderId="0" xfId="0" applyFont="1" applyFill="1"/>
    <xf numFmtId="0" fontId="0" fillId="0" borderId="0" xfId="0" applyFont="1" applyFill="1"/>
    <xf numFmtId="0" fontId="19" fillId="0" borderId="0" xfId="0" applyFont="1" applyFill="1"/>
    <xf numFmtId="0" fontId="0" fillId="14" borderId="0" xfId="0" applyFill="1"/>
    <xf numFmtId="0" fontId="19" fillId="14" borderId="0" xfId="0" applyFont="1" applyFill="1"/>
    <xf numFmtId="0" fontId="20" fillId="13" borderId="0" xfId="0" applyFont="1" applyFill="1"/>
    <xf numFmtId="14" fontId="20" fillId="13" borderId="0" xfId="0" applyNumberFormat="1" applyFont="1" applyFill="1"/>
    <xf numFmtId="0" fontId="3" fillId="4" borderId="0" xfId="0" applyNumberFormat="1" applyFont="1" applyFill="1" applyBorder="1" applyAlignment="1"/>
    <xf numFmtId="0" fontId="3" fillId="4" borderId="0" xfId="0" applyNumberFormat="1" applyFont="1" applyFill="1" applyAlignment="1"/>
    <xf numFmtId="0" fontId="3" fillId="4" borderId="0" xfId="0" applyFont="1" applyFill="1" applyBorder="1" applyAlignment="1"/>
    <xf numFmtId="0" fontId="5" fillId="4" borderId="0" xfId="0" applyNumberFormat="1" applyFont="1" applyFill="1" applyAlignment="1"/>
    <xf numFmtId="0" fontId="5" fillId="4" borderId="0" xfId="0" applyFont="1" applyFill="1" applyBorder="1" applyAlignment="1"/>
    <xf numFmtId="0" fontId="3" fillId="3" borderId="2" xfId="0" applyNumberFormat="1" applyFont="1" applyFill="1" applyBorder="1" applyAlignment="1">
      <alignment horizontal="right"/>
    </xf>
    <xf numFmtId="0" fontId="9" fillId="4" borderId="0" xfId="0" applyFont="1" applyFill="1" applyBorder="1" applyAlignment="1">
      <alignment horizontal="left" vertical="top"/>
    </xf>
    <xf numFmtId="0" fontId="9" fillId="4" borderId="0" xfId="0" applyFont="1" applyFill="1" applyBorder="1" applyAlignment="1">
      <alignment vertical="top"/>
    </xf>
    <xf numFmtId="0" fontId="9" fillId="2" borderId="0" xfId="0" applyFont="1" applyFill="1" applyBorder="1" applyAlignment="1">
      <alignment vertical="top"/>
    </xf>
    <xf numFmtId="14" fontId="3" fillId="3" borderId="2" xfId="0" applyNumberFormat="1" applyFont="1" applyFill="1" applyBorder="1" applyAlignment="1">
      <alignment horizontal="right"/>
    </xf>
    <xf numFmtId="0" fontId="3" fillId="2" borderId="0" xfId="0" applyNumberFormat="1" applyFont="1" applyFill="1" applyBorder="1" applyAlignment="1"/>
    <xf numFmtId="0" fontId="3" fillId="2" borderId="0" xfId="0" applyFont="1" applyFill="1" applyBorder="1" applyAlignment="1"/>
    <xf numFmtId="0" fontId="9" fillId="2" borderId="0" xfId="0" applyFont="1" applyFill="1" applyBorder="1" applyAlignment="1">
      <alignment horizontal="left"/>
    </xf>
    <xf numFmtId="0" fontId="9" fillId="2" borderId="0" xfId="0" applyFont="1" applyFill="1" applyBorder="1" applyAlignment="1"/>
    <xf numFmtId="1" fontId="3" fillId="3" borderId="2" xfId="0" applyNumberFormat="1" applyFont="1" applyFill="1" applyBorder="1" applyAlignment="1">
      <alignment horizontal="right"/>
    </xf>
    <xf numFmtId="164" fontId="3" fillId="3" borderId="2" xfId="0" applyNumberFormat="1" applyFont="1" applyFill="1" applyBorder="1" applyAlignment="1">
      <alignment horizontal="right"/>
    </xf>
    <xf numFmtId="0" fontId="9" fillId="4" borderId="0" xfId="0" applyFont="1" applyFill="1" applyAlignment="1"/>
    <xf numFmtId="0" fontId="9" fillId="4" borderId="0" xfId="0" applyFont="1" applyFill="1" applyAlignment="1">
      <alignment horizontal="center"/>
    </xf>
    <xf numFmtId="0" fontId="3" fillId="4" borderId="0" xfId="0" applyFont="1" applyFill="1" applyAlignment="1"/>
    <xf numFmtId="0" fontId="21" fillId="13" borderId="0" xfId="0" applyFont="1" applyFill="1"/>
    <xf numFmtId="0" fontId="22" fillId="0" borderId="0" xfId="0" applyFont="1" applyFill="1"/>
    <xf numFmtId="14" fontId="21" fillId="13" borderId="0" xfId="0" applyNumberFormat="1" applyFont="1" applyFill="1"/>
    <xf numFmtId="164" fontId="0" fillId="5" borderId="0" xfId="0" applyNumberFormat="1" applyFill="1"/>
    <xf numFmtId="164" fontId="0" fillId="0" borderId="0" xfId="0" applyNumberFormat="1" applyFont="1" applyFill="1"/>
    <xf numFmtId="164" fontId="21" fillId="13" borderId="0" xfId="0" applyNumberFormat="1" applyFont="1" applyFill="1"/>
    <xf numFmtId="164" fontId="20" fillId="13" borderId="0" xfId="0" applyNumberFormat="1" applyFont="1" applyFill="1"/>
    <xf numFmtId="164" fontId="0" fillId="13" borderId="0" xfId="0" applyNumberForma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3" fillId="0" borderId="0" xfId="0" applyFont="1"/>
    <xf numFmtId="0" fontId="23" fillId="0" borderId="0" xfId="0" applyFont="1" applyAlignment="1">
      <alignment horizontal="center" vertical="center"/>
    </xf>
  </cellXfs>
  <cellStyles count="2">
    <cellStyle name="Monétaire [0]" xfId="1" builtinId="7"/>
    <cellStyle name="Normal" xfId="0" builtinId="0"/>
  </cellStyles>
  <dxfs count="52">
    <dxf>
      <fill>
        <patternFill patternType="gray0625">
          <bgColor theme="8" tint="0.39994506668294322"/>
        </patternFill>
      </fill>
    </dxf>
    <dxf>
      <fill>
        <patternFill patternType="gray0625">
          <bgColor theme="8" tint="0.39994506668294322"/>
        </patternFill>
      </fill>
    </dxf>
    <dxf>
      <fill>
        <patternFill patternType="gray0625">
          <bgColor theme="8" tint="0.39994506668294322"/>
        </patternFill>
      </fill>
    </dxf>
    <dxf>
      <fill>
        <patternFill patternType="gray0625">
          <bgColor theme="8" tint="0.39994506668294322"/>
        </patternFill>
      </fill>
    </dxf>
    <dxf>
      <fill>
        <patternFill patternType="gray0625">
          <bgColor theme="8" tint="0.39994506668294322"/>
        </patternFill>
      </fill>
    </dxf>
    <dxf>
      <font>
        <strike val="0"/>
        <outline val="0"/>
        <shadow val="0"/>
        <u val="none"/>
        <vertAlign val="baseline"/>
        <sz val="12"/>
        <color rgb="FF003399"/>
        <name val="Calibri"/>
        <scheme val="minor"/>
      </font>
      <numFmt numFmtId="164" formatCode="_-[$XOF]\ * #,##0_-;\-[$XOF]\ * #,##0_-;_-[$XOF]\ * &quot;-&quot;_-;_-@_-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2"/>
        <color rgb="FF003399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2"/>
        <color rgb="FF003399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color theme="7" tint="-0.249977111117893"/>
      </font>
      <fill>
        <patternFill patternType="solid">
          <fgColor indexed="64"/>
          <bgColor rgb="FF091B2D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3399"/>
        <name val="Calibri"/>
        <scheme val="minor"/>
      </font>
      <numFmt numFmtId="164" formatCode="_-[$XOF]\ * #,##0_-;\-[$XOF]\ * #,##0_-;_-[$XOF]\ * &quot;-&quot;_-;_-@_-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2"/>
        <color rgb="FF003399"/>
        <name val="Calibri"/>
        <scheme val="minor"/>
      </font>
      <numFmt numFmtId="164" formatCode="_-[$XOF]\ * #,##0_-;\-[$XOF]\ * #,##0_-;_-[$XOF]\ * &quot;-&quot;_-;_-@_-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2"/>
        <color rgb="FF003399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color theme="7" tint="-0.249977111117893"/>
      </font>
      <fill>
        <patternFill patternType="solid">
          <fgColor indexed="64"/>
          <bgColor rgb="FF091B2D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7" tint="-0.249977111117893"/>
      </font>
      <fill>
        <patternFill patternType="solid">
          <fgColor indexed="64"/>
          <bgColor rgb="FF091B2D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outline="0">
        <right style="medium">
          <color indexed="64"/>
        </right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75DC9"/>
        <name val="Constantia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75DC9"/>
        <name val="Constantia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75DC9"/>
        <name val="Constantia"/>
        <scheme val="none"/>
      </font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strike val="0"/>
        <outline val="0"/>
        <shadow val="0"/>
        <u val="none"/>
        <vertAlign val="baseline"/>
        <sz val="12"/>
        <color rgb="FF003399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2"/>
        <color rgb="FF003399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2"/>
        <color rgb="FF003399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2"/>
        <color rgb="FF003399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2"/>
        <color rgb="FF003399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2"/>
        <color rgb="FF003399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2"/>
        <color rgb="FF003399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theme="7" tint="-0.249977111117893"/>
      </font>
      <numFmt numFmtId="19" formatCode="dd/mm/yyyy"/>
      <fill>
        <patternFill patternType="solid">
          <fgColor indexed="64"/>
          <bgColor rgb="FF091B2D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7" tint="-0.249977111117893"/>
      </font>
      <fill>
        <patternFill patternType="solid">
          <fgColor indexed="64"/>
          <bgColor rgb="FF091B2D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7" tint="-0.249977111117893"/>
      </font>
      <fill>
        <patternFill patternType="solid">
          <fgColor indexed="64"/>
          <bgColor rgb="FF091B2D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 tint="-0.249977111117893"/>
        <name val="Calibri"/>
        <scheme val="minor"/>
      </font>
      <fill>
        <patternFill patternType="solid">
          <fgColor indexed="64"/>
          <bgColor rgb="FF091B2D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7" tint="-0.249977111117893"/>
      </font>
      <fill>
        <patternFill patternType="solid">
          <fgColor indexed="64"/>
          <bgColor rgb="FF091B2D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7" tint="-0.249977111117893"/>
      </font>
      <fill>
        <patternFill patternType="solid">
          <fgColor indexed="64"/>
          <bgColor rgb="FF091B2D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7" tint="-0.249977111117893"/>
      </font>
      <fill>
        <patternFill patternType="solid">
          <fgColor indexed="64"/>
          <bgColor rgb="FF091B2D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7" tint="-0.249977111117893"/>
      </font>
      <fill>
        <patternFill patternType="solid">
          <fgColor indexed="64"/>
          <bgColor rgb="FF091B2D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7" tint="-0.249977111117893"/>
      </font>
      <fill>
        <patternFill patternType="solid">
          <fgColor indexed="64"/>
          <bgColor rgb="FF091B2D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7" tint="-0.249977111117893"/>
      </font>
      <fill>
        <patternFill patternType="solid">
          <fgColor indexed="64"/>
          <bgColor rgb="FF091B2D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7" tint="-0.249977111117893"/>
      </font>
      <fill>
        <patternFill patternType="solid">
          <fgColor indexed="64"/>
          <bgColor rgb="FF091B2D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7" tint="-0.249977111117893"/>
      </font>
      <numFmt numFmtId="19" formatCode="dd/mm/yyyy"/>
      <fill>
        <patternFill patternType="solid">
          <fgColor indexed="64"/>
          <bgColor rgb="FF091B2D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7" tint="-0.249977111117893"/>
      </font>
      <fill>
        <patternFill patternType="solid">
          <fgColor indexed="64"/>
          <bgColor rgb="FF091B2D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 tint="-0.249977111117893"/>
        <name val="Calibri"/>
        <scheme val="minor"/>
      </font>
      <fill>
        <patternFill patternType="solid">
          <fgColor indexed="64"/>
          <bgColor rgb="FF091B2D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7" tint="-0.249977111117893"/>
      </font>
      <fill>
        <patternFill patternType="solid">
          <fgColor indexed="64"/>
          <bgColor rgb="FF091B2D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7" tint="-0.249977111117893"/>
      </font>
      <fill>
        <patternFill patternType="solid">
          <fgColor indexed="64"/>
          <bgColor rgb="FF091B2D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7" tint="-0.249977111117893"/>
      </font>
      <fill>
        <patternFill patternType="solid">
          <fgColor indexed="64"/>
          <bgColor rgb="FF091B2D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7" tint="-0.249977111117893"/>
      </font>
      <fill>
        <patternFill patternType="solid">
          <fgColor indexed="64"/>
          <bgColor rgb="FF091B2D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7" tint="-0.249977111117893"/>
      </font>
      <fill>
        <patternFill patternType="solid">
          <fgColor indexed="64"/>
          <bgColor rgb="FF091B2D"/>
        </patternFill>
      </fill>
      <alignment horizontal="center" vertical="bottom" textRotation="0" wrapText="0" indent="0" justifyLastLine="0" shrinkToFit="0" readingOrder="0"/>
    </dxf>
    <dxf>
      <font>
        <color rgb="FF003399"/>
      </font>
      <fill>
        <patternFill patternType="solid">
          <bgColor auto="1"/>
        </patternFill>
      </fill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double">
          <color auto="1"/>
        </vertical>
        <horizontal style="double">
          <color auto="1"/>
        </horizontal>
      </border>
    </dxf>
    <dxf>
      <font>
        <b/>
        <i val="0"/>
      </font>
      <fill>
        <patternFill>
          <bgColor rgb="FF001642"/>
        </patternFill>
      </fill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</border>
    </dxf>
  </dxfs>
  <tableStyles count="2" defaultTableStyle="TableStyleMedium2" defaultPivotStyle="PivotStyleLight16">
    <tableStyle name="Style de tableau 1" pivot="0" count="1">
      <tableStyleElement type="wholeTable" dxfId="51"/>
    </tableStyle>
    <tableStyle name="styletableau1" pivot="0" count="1">
      <tableStyleElement type="wholeTable" dxfId="50"/>
    </tableStyle>
  </tableStyles>
  <colors>
    <mruColors>
      <color rgb="FF1EE5D7"/>
      <color rgb="FF11CFEF"/>
      <color rgb="FF0DABC5"/>
      <color rgb="FF003399"/>
      <color rgb="FF080D54"/>
      <color rgb="FF060A40"/>
      <color rgb="FF000000"/>
      <color rgb="FF001642"/>
      <color rgb="FF000B22"/>
      <color rgb="FF04072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jpe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040226480"/>
        <c:axId val="1040226896"/>
      </c:scatterChart>
      <c:valAx>
        <c:axId val="1040226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40226896"/>
        <c:crosses val="autoZero"/>
        <c:crossBetween val="midCat"/>
      </c:valAx>
      <c:valAx>
        <c:axId val="104022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40226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blipFill dpi="0" rotWithShape="1">
      <a:blip xmlns:r="http://schemas.openxmlformats.org/officeDocument/2006/relationships" r:embed="rId3">
        <a:extLst>
          <a:ext uri="{28A0092B-C50C-407E-A947-70E740481C1C}">
            <a14:useLocalDpi xmlns:a14="http://schemas.microsoft.com/office/drawing/2010/main" val="0"/>
          </a:ext>
        </a:extLst>
      </a:blip>
      <a:srcRect/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webp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7.png"/><Relationship Id="rId4" Type="http://schemas.openxmlformats.org/officeDocument/2006/relationships/image" Target="../media/image6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jpeg"/><Relationship Id="rId2" Type="http://schemas.openxmlformats.org/officeDocument/2006/relationships/image" Target="../media/image10.jpeg"/><Relationship Id="rId1" Type="http://schemas.openxmlformats.org/officeDocument/2006/relationships/image" Target="../media/image9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246944</xdr:colOff>
      <xdr:row>7</xdr:row>
      <xdr:rowOff>9590</xdr:rowOff>
    </xdr:to>
    <xdr:pic>
      <xdr:nvPicPr>
        <xdr:cNvPr id="2" name="beneficiaires" descr="Bannière abstraite" title="Banne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0"/>
          <a:ext cx="13765388" cy="133603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19051</xdr:rowOff>
    </xdr:from>
    <xdr:to>
      <xdr:col>2</xdr:col>
      <xdr:colOff>1593850</xdr:colOff>
      <xdr:row>7</xdr:row>
      <xdr:rowOff>0</xdr:rowOff>
    </xdr:to>
    <xdr:sp macro="" textlink="">
      <xdr:nvSpPr>
        <xdr:cNvPr id="3" name="ZoneTexte 2"/>
        <xdr:cNvSpPr txBox="1"/>
      </xdr:nvSpPr>
      <xdr:spPr>
        <a:xfrm>
          <a:off x="0" y="768351"/>
          <a:ext cx="4406900" cy="5651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cene3d>
            <a:camera prst="perspectiveBelow"/>
            <a:lightRig rig="soft" dir="t">
              <a:rot lat="0" lon="0" rev="15600000"/>
            </a:lightRig>
          </a:scene3d>
          <a:sp3d extrusionH="57150" prstMaterial="softEdge">
            <a:bevelT w="25400" h="38100" prst="slope"/>
          </a:sp3d>
        </a:bodyPr>
        <a:lstStyle/>
        <a:p>
          <a:r>
            <a:rPr lang="fr-FR" sz="4000" b="1" cap="none" spc="0">
              <a:ln>
                <a:solidFill>
                  <a:schemeClr val="accent4">
                    <a:lumMod val="20000"/>
                    <a:lumOff val="80000"/>
                  </a:schemeClr>
                </a:solidFill>
              </a:ln>
              <a:blipFill>
                <a:blip xmlns:r="http://schemas.openxmlformats.org/officeDocument/2006/relationships" r:embed="rId2"/>
                <a:tile tx="0" ty="0" sx="100000" sy="100000" flip="none" algn="tl"/>
              </a:blipFill>
              <a:effectLst/>
              <a:latin typeface="Constantia" panose="02030602050306030303" pitchFamily="18" charset="0"/>
            </a:rPr>
            <a:t>BENEFICIAIRES</a:t>
          </a:r>
        </a:p>
        <a:p>
          <a:endParaRPr lang="fr-FR" sz="4000" b="1" cap="none" spc="0">
            <a:ln>
              <a:solidFill>
                <a:schemeClr val="accent4">
                  <a:lumMod val="40000"/>
                  <a:lumOff val="60000"/>
                </a:schemeClr>
              </a:solidFill>
            </a:ln>
            <a:blipFill>
              <a:blip xmlns:r="http://schemas.openxmlformats.org/officeDocument/2006/relationships" r:embed="rId2"/>
              <a:tile tx="0" ty="0" sx="100000" sy="100000" flip="none" algn="tl"/>
            </a:blipFill>
            <a:effectLst/>
            <a:latin typeface="Constantia" panose="02030602050306030303" pitchFamily="18" charset="0"/>
          </a:endParaRPr>
        </a:p>
      </xdr:txBody>
    </xdr:sp>
    <xdr:clientData/>
  </xdr:twoCellAnchor>
  <xdr:twoCellAnchor editAs="oneCell">
    <xdr:from>
      <xdr:col>5</xdr:col>
      <xdr:colOff>1657351</xdr:colOff>
      <xdr:row>0</xdr:row>
      <xdr:rowOff>79625</xdr:rowOff>
    </xdr:from>
    <xdr:to>
      <xdr:col>6</xdr:col>
      <xdr:colOff>679450</xdr:colOff>
      <xdr:row>6</xdr:row>
      <xdr:rowOff>128024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61501" y="79625"/>
          <a:ext cx="1206499" cy="1178699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>
    <xdr:from>
      <xdr:col>7</xdr:col>
      <xdr:colOff>275167</xdr:colOff>
      <xdr:row>7</xdr:row>
      <xdr:rowOff>268111</xdr:rowOff>
    </xdr:from>
    <xdr:to>
      <xdr:col>8</xdr:col>
      <xdr:colOff>649112</xdr:colOff>
      <xdr:row>15</xdr:row>
      <xdr:rowOff>141110</xdr:rowOff>
    </xdr:to>
    <xdr:grpSp>
      <xdr:nvGrpSpPr>
        <xdr:cNvPr id="17" name="Groupe 16"/>
        <xdr:cNvGrpSpPr/>
      </xdr:nvGrpSpPr>
      <xdr:grpSpPr>
        <a:xfrm>
          <a:off x="10745611" y="1594555"/>
          <a:ext cx="1135945" cy="1749777"/>
          <a:chOff x="10573820" y="1362753"/>
          <a:chExt cx="1619607" cy="2261741"/>
        </a:xfrm>
        <a:solidFill>
          <a:srgbClr val="1EE5D7"/>
        </a:solidFill>
      </xdr:grpSpPr>
      <xdr:sp macro="" textlink="">
        <xdr:nvSpPr>
          <xdr:cNvPr id="18" name="Rectangle à coins arrondis 17"/>
          <xdr:cNvSpPr/>
        </xdr:nvSpPr>
        <xdr:spPr>
          <a:xfrm>
            <a:off x="10573821" y="1362753"/>
            <a:ext cx="1605337" cy="2261741"/>
          </a:xfrm>
          <a:prstGeom prst="roundRect">
            <a:avLst/>
          </a:prstGeom>
          <a:grpFill/>
          <a:ln>
            <a:solidFill>
              <a:srgbClr val="11CFE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cxnSp macro="">
        <xdr:nvCxnSpPr>
          <xdr:cNvPr id="19" name="Connecteur droit 18"/>
          <xdr:cNvCxnSpPr/>
        </xdr:nvCxnSpPr>
        <xdr:spPr>
          <a:xfrm>
            <a:off x="10573820" y="1670967"/>
            <a:ext cx="1619607" cy="7135"/>
          </a:xfrm>
          <a:prstGeom prst="line">
            <a:avLst/>
          </a:prstGeom>
          <a:grpFill/>
          <a:ln>
            <a:solidFill>
              <a:srgbClr val="11CFEF"/>
            </a:solidFill>
          </a:ln>
        </xdr:spPr>
        <xdr:style>
          <a:lnRef idx="1">
            <a:schemeClr val="accent2"/>
          </a:lnRef>
          <a:fillRef idx="0">
            <a:schemeClr val="accent2"/>
          </a:fillRef>
          <a:effectRef idx="0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7</xdr:col>
      <xdr:colOff>416278</xdr:colOff>
      <xdr:row>8</xdr:row>
      <xdr:rowOff>77614</xdr:rowOff>
    </xdr:from>
    <xdr:to>
      <xdr:col>8</xdr:col>
      <xdr:colOff>515056</xdr:colOff>
      <xdr:row>11</xdr:row>
      <xdr:rowOff>24860</xdr:rowOff>
    </xdr:to>
    <xdr:pic macro="[0]!Ajouter_beneficiaire">
      <xdr:nvPicPr>
        <xdr:cNvPr id="6" name="Image 5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5200"/>
        <a:stretch/>
      </xdr:blipFill>
      <xdr:spPr>
        <a:xfrm>
          <a:off x="10886722" y="1735670"/>
          <a:ext cx="860778" cy="589301"/>
        </a:xfrm>
        <a:prstGeom prst="roundRect">
          <a:avLst>
            <a:gd name="adj" fmla="val 16667"/>
          </a:avLst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</xdr:pic>
    <xdr:clientData/>
  </xdr:twoCellAnchor>
  <xdr:twoCellAnchor editAs="oneCell">
    <xdr:from>
      <xdr:col>7</xdr:col>
      <xdr:colOff>493889</xdr:colOff>
      <xdr:row>11</xdr:row>
      <xdr:rowOff>197556</xdr:rowOff>
    </xdr:from>
    <xdr:to>
      <xdr:col>8</xdr:col>
      <xdr:colOff>496269</xdr:colOff>
      <xdr:row>15</xdr:row>
      <xdr:rowOff>49388</xdr:rowOff>
    </xdr:to>
    <xdr:pic macro="[0]!Annuler_enregistrement_bnf"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64333" y="2497667"/>
          <a:ext cx="764380" cy="754943"/>
        </a:xfrm>
        <a:prstGeom prst="ellipse">
          <a:avLst/>
        </a:prstGeom>
        <a:ln>
          <a:noFill/>
        </a:ln>
        <a:effectLst>
          <a:softEdge rad="112500"/>
        </a:effectLst>
        <a:scene3d>
          <a:camera prst="orthographicFront"/>
          <a:lightRig rig="threePt" dir="t"/>
        </a:scene3d>
        <a:sp3d>
          <a:bevelT prst="angle"/>
        </a:sp3d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147598</xdr:colOff>
      <xdr:row>7</xdr:row>
      <xdr:rowOff>6614</xdr:rowOff>
    </xdr:to>
    <xdr:pic>
      <xdr:nvPicPr>
        <xdr:cNvPr id="5" name="Image 4" descr="Bannière abstraite" title="Banne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0"/>
          <a:ext cx="15723819" cy="1342760"/>
        </a:xfrm>
        <a:prstGeom prst="rect">
          <a:avLst/>
        </a:prstGeom>
      </xdr:spPr>
    </xdr:pic>
    <xdr:clientData/>
  </xdr:twoCellAnchor>
  <xdr:twoCellAnchor>
    <xdr:from>
      <xdr:col>0</xdr:col>
      <xdr:colOff>20484</xdr:colOff>
      <xdr:row>3</xdr:row>
      <xdr:rowOff>167635</xdr:rowOff>
    </xdr:from>
    <xdr:to>
      <xdr:col>2</xdr:col>
      <xdr:colOff>635000</xdr:colOff>
      <xdr:row>6</xdr:row>
      <xdr:rowOff>163689</xdr:rowOff>
    </xdr:to>
    <xdr:sp macro="" textlink="">
      <xdr:nvSpPr>
        <xdr:cNvPr id="6" name="ZoneTexte 5"/>
        <xdr:cNvSpPr txBox="1"/>
      </xdr:nvSpPr>
      <xdr:spPr>
        <a:xfrm>
          <a:off x="20484" y="703416"/>
          <a:ext cx="3776287" cy="5318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cene3d>
            <a:camera prst="perspectiveBelow"/>
            <a:lightRig rig="soft" dir="t">
              <a:rot lat="0" lon="0" rev="15600000"/>
            </a:lightRig>
          </a:scene3d>
          <a:sp3d extrusionH="57150" prstMaterial="softEdge">
            <a:bevelT w="25400" h="38100" prst="slope"/>
          </a:sp3d>
        </a:bodyPr>
        <a:lstStyle/>
        <a:p>
          <a:r>
            <a:rPr lang="fr-FR" sz="4000" b="1" cap="none" spc="0">
              <a:ln>
                <a:solidFill>
                  <a:schemeClr val="bg1"/>
                </a:solidFill>
              </a:ln>
              <a:blipFill>
                <a:blip xmlns:r="http://schemas.openxmlformats.org/officeDocument/2006/relationships" r:embed="rId2"/>
                <a:tile tx="0" ty="0" sx="100000" sy="100000" flip="none" algn="tl"/>
              </a:blipFill>
              <a:effectLst/>
              <a:latin typeface="Constantia" panose="02030602050306030303" pitchFamily="18" charset="0"/>
            </a:rPr>
            <a:t>PRESTATIONS</a:t>
          </a:r>
        </a:p>
        <a:p>
          <a:endParaRPr lang="fr-FR" sz="4000" b="1" cap="none" spc="0">
            <a:ln>
              <a:solidFill>
                <a:schemeClr val="accent4">
                  <a:lumMod val="40000"/>
                  <a:lumOff val="60000"/>
                </a:schemeClr>
              </a:solidFill>
            </a:ln>
            <a:blipFill>
              <a:blip xmlns:r="http://schemas.openxmlformats.org/officeDocument/2006/relationships" r:embed="rId2"/>
              <a:tile tx="0" ty="0" sx="100000" sy="100000" flip="none" algn="tl"/>
            </a:blipFill>
            <a:effectLst/>
            <a:latin typeface="Constantia" panose="02030602050306030303" pitchFamily="18" charset="0"/>
          </a:endParaRPr>
        </a:p>
      </xdr:txBody>
    </xdr:sp>
    <xdr:clientData/>
  </xdr:twoCellAnchor>
  <xdr:twoCellAnchor editAs="oneCell">
    <xdr:from>
      <xdr:col>5</xdr:col>
      <xdr:colOff>1094342</xdr:colOff>
      <xdr:row>0</xdr:row>
      <xdr:rowOff>70908</xdr:rowOff>
    </xdr:from>
    <xdr:to>
      <xdr:col>6</xdr:col>
      <xdr:colOff>212975</xdr:colOff>
      <xdr:row>6</xdr:row>
      <xdr:rowOff>39688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780488" y="70908"/>
          <a:ext cx="1096393" cy="1106488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>
    <xdr:from>
      <xdr:col>7</xdr:col>
      <xdr:colOff>235450</xdr:colOff>
      <xdr:row>8</xdr:row>
      <xdr:rowOff>171236</xdr:rowOff>
    </xdr:from>
    <xdr:to>
      <xdr:col>8</xdr:col>
      <xdr:colOff>688401</xdr:colOff>
      <xdr:row>17</xdr:row>
      <xdr:rowOff>128428</xdr:rowOff>
    </xdr:to>
    <xdr:sp macro="" textlink="">
      <xdr:nvSpPr>
        <xdr:cNvPr id="9" name="Rectangle à coins arrondis 8"/>
        <xdr:cNvSpPr/>
      </xdr:nvSpPr>
      <xdr:spPr>
        <a:xfrm>
          <a:off x="10795001" y="1712360"/>
          <a:ext cx="1216378" cy="1783708"/>
        </a:xfrm>
        <a:prstGeom prst="roundRect">
          <a:avLst/>
        </a:prstGeom>
        <a:solidFill>
          <a:srgbClr val="1EE5D7"/>
        </a:solidFill>
        <a:ln>
          <a:solidFill>
            <a:srgbClr val="11CFE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235449</xdr:colOff>
      <xdr:row>10</xdr:row>
      <xdr:rowOff>69908</xdr:rowOff>
    </xdr:from>
    <xdr:to>
      <xdr:col>8</xdr:col>
      <xdr:colOff>699213</xdr:colOff>
      <xdr:row>10</xdr:row>
      <xdr:rowOff>75535</xdr:rowOff>
    </xdr:to>
    <xdr:cxnSp macro="">
      <xdr:nvCxnSpPr>
        <xdr:cNvPr id="12" name="Connecteur droit 11"/>
        <xdr:cNvCxnSpPr/>
      </xdr:nvCxnSpPr>
      <xdr:spPr>
        <a:xfrm>
          <a:off x="10795000" y="2010582"/>
          <a:ext cx="1227191" cy="5627"/>
        </a:xfrm>
        <a:prstGeom prst="line">
          <a:avLst/>
        </a:prstGeom>
        <a:solidFill>
          <a:srgbClr val="0DABC5"/>
        </a:solidFill>
        <a:ln>
          <a:solidFill>
            <a:srgbClr val="11CFEF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434557</xdr:colOff>
      <xdr:row>9</xdr:row>
      <xdr:rowOff>154809</xdr:rowOff>
    </xdr:from>
    <xdr:to>
      <xdr:col>8</xdr:col>
      <xdr:colOff>513707</xdr:colOff>
      <xdr:row>13</xdr:row>
      <xdr:rowOff>42810</xdr:rowOff>
    </xdr:to>
    <xdr:pic macro="[0]!Ajouter_prestation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94108" y="1895708"/>
          <a:ext cx="842577" cy="737046"/>
        </a:xfrm>
        <a:prstGeom prst="roundRect">
          <a:avLst>
            <a:gd name="adj" fmla="val 16667"/>
          </a:avLst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</xdr:pic>
    <xdr:clientData/>
  </xdr:twoCellAnchor>
  <xdr:twoCellAnchor editAs="oneCell">
    <xdr:from>
      <xdr:col>7</xdr:col>
      <xdr:colOff>485945</xdr:colOff>
      <xdr:row>14</xdr:row>
      <xdr:rowOff>7134</xdr:rowOff>
    </xdr:from>
    <xdr:to>
      <xdr:col>8</xdr:col>
      <xdr:colOff>442360</xdr:colOff>
      <xdr:row>17</xdr:row>
      <xdr:rowOff>68045</xdr:rowOff>
    </xdr:to>
    <xdr:pic macro="[0]!Annuler_enregistrement_prestation"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045496" y="2725505"/>
          <a:ext cx="719842" cy="71018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1169254</xdr:colOff>
      <xdr:row>0</xdr:row>
      <xdr:rowOff>124150</xdr:rowOff>
    </xdr:from>
    <xdr:to>
      <xdr:col>3</xdr:col>
      <xdr:colOff>1648557</xdr:colOff>
      <xdr:row>0</xdr:row>
      <xdr:rowOff>612612</xdr:rowOff>
    </xdr:to>
    <xdr:sp macro="" textlink="">
      <xdr:nvSpPr>
        <xdr:cNvPr id="6" name="ZoneTexte 5"/>
        <xdr:cNvSpPr txBox="1"/>
      </xdr:nvSpPr>
      <xdr:spPr>
        <a:xfrm>
          <a:off x="4304567" y="124150"/>
          <a:ext cx="2146178" cy="488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r>
            <a:rPr lang="fr-FR" sz="3200" b="1" cap="none" spc="0">
              <a:ln/>
              <a:solidFill>
                <a:schemeClr val="accent4"/>
              </a:solidFill>
              <a:effectLst/>
              <a:latin typeface="Constantia" panose="02030602050306030303" pitchFamily="18" charset="0"/>
            </a:rPr>
            <a:t>ALL DATA</a:t>
          </a:r>
        </a:p>
      </xdr:txBody>
    </xdr:sp>
    <xdr:clientData/>
  </xdr:twoCellAnchor>
  <xdr:twoCellAnchor editAs="oneCell">
    <xdr:from>
      <xdr:col>0</xdr:col>
      <xdr:colOff>72762</xdr:colOff>
      <xdr:row>0</xdr:row>
      <xdr:rowOff>0</xdr:rowOff>
    </xdr:from>
    <xdr:to>
      <xdr:col>0</xdr:col>
      <xdr:colOff>1157551</xdr:colOff>
      <xdr:row>1</xdr:row>
      <xdr:rowOff>26456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62" y="0"/>
          <a:ext cx="1084789" cy="1084789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711660</xdr:colOff>
      <xdr:row>0</xdr:row>
      <xdr:rowOff>251423</xdr:rowOff>
    </xdr:from>
    <xdr:to>
      <xdr:col>4</xdr:col>
      <xdr:colOff>469348</xdr:colOff>
      <xdr:row>2</xdr:row>
      <xdr:rowOff>0</xdr:rowOff>
    </xdr:to>
    <xdr:sp macro="" textlink="">
      <xdr:nvSpPr>
        <xdr:cNvPr id="2" name="ZoneTexte 1"/>
        <xdr:cNvSpPr txBox="1"/>
      </xdr:nvSpPr>
      <xdr:spPr>
        <a:xfrm>
          <a:off x="1891862" y="251423"/>
          <a:ext cx="4260415" cy="10442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3600" b="0">
              <a:solidFill>
                <a:srgbClr val="003399"/>
              </a:solidFill>
              <a:effectLst>
                <a:glow rad="228600">
                  <a:schemeClr val="accent5">
                    <a:satMod val="175000"/>
                    <a:alpha val="40000"/>
                  </a:schemeClr>
                </a:glow>
              </a:effectLst>
              <a:latin typeface="Constantia" panose="02030602050306030303" pitchFamily="18" charset="0"/>
            </a:rPr>
            <a:t>ALL DATA </a:t>
          </a:r>
        </a:p>
      </xdr:txBody>
    </xdr:sp>
    <xdr:clientData/>
  </xdr:twoCellAnchor>
  <xdr:twoCellAnchor editAs="oneCell">
    <xdr:from>
      <xdr:col>0</xdr:col>
      <xdr:colOff>0</xdr:colOff>
      <xdr:row>0</xdr:row>
      <xdr:rowOff>79374</xdr:rowOff>
    </xdr:from>
    <xdr:to>
      <xdr:col>0</xdr:col>
      <xdr:colOff>1161274</xdr:colOff>
      <xdr:row>1</xdr:row>
      <xdr:rowOff>26744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9374"/>
          <a:ext cx="1161274" cy="1051718"/>
        </a:xfrm>
        <a:prstGeom prst="rect">
          <a:avLst/>
        </a:prstGeom>
        <a:ln>
          <a:noFill/>
        </a:ln>
        <a:effectLst>
          <a:glow rad="228600">
            <a:schemeClr val="accent1">
              <a:satMod val="175000"/>
              <a:alpha val="40000"/>
            </a:schemeClr>
          </a:glow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612858</xdr:colOff>
      <xdr:row>0</xdr:row>
      <xdr:rowOff>1012319</xdr:rowOff>
    </xdr:from>
    <xdr:to>
      <xdr:col>4</xdr:col>
      <xdr:colOff>1116858</xdr:colOff>
      <xdr:row>3</xdr:row>
      <xdr:rowOff>9345</xdr:rowOff>
    </xdr:to>
    <xdr:pic macro="[0]!filtrer"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0249" y="1012319"/>
          <a:ext cx="504000" cy="48789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artDeco"/>
          <a:contourClr>
            <a:srgbClr val="969696"/>
          </a:contourClr>
        </a:sp3d>
      </xdr:spPr>
    </xdr:pic>
    <xdr:clientData/>
  </xdr:twoCellAnchor>
  <xdr:twoCellAnchor editAs="oneCell">
    <xdr:from>
      <xdr:col>6</xdr:col>
      <xdr:colOff>326703</xdr:colOff>
      <xdr:row>0</xdr:row>
      <xdr:rowOff>990750</xdr:rowOff>
    </xdr:from>
    <xdr:to>
      <xdr:col>6</xdr:col>
      <xdr:colOff>830703</xdr:colOff>
      <xdr:row>3</xdr:row>
      <xdr:rowOff>6756</xdr:rowOff>
    </xdr:to>
    <xdr:pic macro="[0]!supprimerfiltre"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67645" y="990750"/>
          <a:ext cx="504000" cy="50687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angle"/>
          <a:contourClr>
            <a:srgbClr val="969696"/>
          </a:contourClr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692150</xdr:colOff>
      <xdr:row>0</xdr:row>
      <xdr:rowOff>69850</xdr:rowOff>
    </xdr:from>
    <xdr:to>
      <xdr:col>10</xdr:col>
      <xdr:colOff>747415</xdr:colOff>
      <xdr:row>3</xdr:row>
      <xdr:rowOff>145342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40150" y="69850"/>
          <a:ext cx="4627265" cy="627942"/>
        </a:xfrm>
        <a:prstGeom prst="rect">
          <a:avLst/>
        </a:prstGeom>
      </xdr:spPr>
    </xdr:pic>
    <xdr:clientData/>
  </xdr:twoCellAnchor>
  <xdr:twoCellAnchor editAs="oneCell">
    <xdr:from>
      <xdr:col>11</xdr:col>
      <xdr:colOff>6350</xdr:colOff>
      <xdr:row>0</xdr:row>
      <xdr:rowOff>0</xdr:rowOff>
    </xdr:from>
    <xdr:to>
      <xdr:col>12</xdr:col>
      <xdr:colOff>231988</xdr:colOff>
      <xdr:row>4</xdr:row>
      <xdr:rowOff>135204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88350" y="0"/>
          <a:ext cx="987638" cy="871804"/>
        </a:xfrm>
        <a:prstGeom prst="rect">
          <a:avLst/>
        </a:prstGeom>
      </xdr:spPr>
    </xdr:pic>
    <xdr:clientData/>
  </xdr:twoCellAnchor>
  <xdr:twoCellAnchor>
    <xdr:from>
      <xdr:col>3</xdr:col>
      <xdr:colOff>688975</xdr:colOff>
      <xdr:row>14</xdr:row>
      <xdr:rowOff>28575</xdr:rowOff>
    </xdr:from>
    <xdr:to>
      <xdr:col>9</xdr:col>
      <xdr:colOff>688975</xdr:colOff>
      <xdr:row>29</xdr:row>
      <xdr:rowOff>9525</xdr:rowOff>
    </xdr:to>
    <xdr:graphicFrame macro="">
      <xdr:nvGraphicFramePr>
        <xdr:cNvPr id="6" name="Graphique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476250</xdr:colOff>
      <xdr:row>0</xdr:row>
      <xdr:rowOff>25400</xdr:rowOff>
    </xdr:from>
    <xdr:to>
      <xdr:col>11</xdr:col>
      <xdr:colOff>531515</xdr:colOff>
      <xdr:row>3</xdr:row>
      <xdr:rowOff>62792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6250" y="25400"/>
          <a:ext cx="4627265" cy="627942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13</xdr:col>
      <xdr:colOff>225638</xdr:colOff>
      <xdr:row>4</xdr:row>
      <xdr:rowOff>84404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44000" y="0"/>
          <a:ext cx="987638" cy="871804"/>
        </a:xfrm>
        <a:prstGeom prst="rect">
          <a:avLst/>
        </a:prstGeom>
      </xdr:spPr>
    </xdr:pic>
    <xdr:clientData/>
  </xdr:twoCellAnchor>
  <xdr:twoCellAnchor>
    <xdr:from>
      <xdr:col>0</xdr:col>
      <xdr:colOff>165100</xdr:colOff>
      <xdr:row>5</xdr:row>
      <xdr:rowOff>88900</xdr:rowOff>
    </xdr:from>
    <xdr:to>
      <xdr:col>3</xdr:col>
      <xdr:colOff>704850</xdr:colOff>
      <xdr:row>13</xdr:row>
      <xdr:rowOff>25400</xdr:rowOff>
    </xdr:to>
    <xdr:sp macro="" textlink="">
      <xdr:nvSpPr>
        <xdr:cNvPr id="6" name="Plaque 5"/>
        <xdr:cNvSpPr/>
      </xdr:nvSpPr>
      <xdr:spPr>
        <a:xfrm>
          <a:off x="165100" y="1009650"/>
          <a:ext cx="2825750" cy="1409700"/>
        </a:xfrm>
        <a:prstGeom prst="bevel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171450</xdr:colOff>
      <xdr:row>3</xdr:row>
      <xdr:rowOff>139700</xdr:rowOff>
    </xdr:from>
    <xdr:to>
      <xdr:col>3</xdr:col>
      <xdr:colOff>711200</xdr:colOff>
      <xdr:row>5</xdr:row>
      <xdr:rowOff>69850</xdr:rowOff>
    </xdr:to>
    <xdr:sp macro="" textlink="">
      <xdr:nvSpPr>
        <xdr:cNvPr id="7" name="Rectangle 6"/>
        <xdr:cNvSpPr/>
      </xdr:nvSpPr>
      <xdr:spPr>
        <a:xfrm>
          <a:off x="171450" y="692150"/>
          <a:ext cx="2825750" cy="2984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P" refreshedDate="45397.976446759261" createdVersion="6" refreshedVersion="6" minRefreshableVersion="3" recordCount="65">
  <cacheSource type="worksheet">
    <worksheetSource name="dtbasebnf"/>
  </cacheSource>
  <cacheFields count="20">
    <cacheField name="Année de saisie" numFmtId="0">
      <sharedItems containsString="0" containsBlank="1" containsNumber="1" containsInteger="1" minValue="2018" maxValue="2022" count="6">
        <n v="2018"/>
        <n v="2019"/>
        <n v="2020"/>
        <n v="2021"/>
        <n v="2022"/>
        <m/>
      </sharedItems>
    </cacheField>
    <cacheField name="Région" numFmtId="0">
      <sharedItems containsBlank="1" count="12">
        <s v="Kédougou"/>
        <s v="Thiès"/>
        <s v="Kolda"/>
        <s v="Louga"/>
        <s v="Diourbel"/>
        <s v="Kaolack"/>
        <s v="Fatick"/>
        <s v="Ziguinchor"/>
        <s v="Saint_Louis"/>
        <s v="Matam"/>
        <s v="Tambacounda"/>
        <m/>
      </sharedItems>
    </cacheField>
    <cacheField name="Département" numFmtId="0">
      <sharedItems containsBlank="1"/>
    </cacheField>
    <cacheField name="Mutuelle de santé" numFmtId="0">
      <sharedItems containsBlank="1" count="14">
        <s v="HealthGuard"/>
        <s v="PrimaSanté"/>
        <s v="Familiale ProSanté"/>
        <s v="SantéPlus"/>
        <s v="ShieldCare"/>
        <s v="UniCare Assurance"/>
        <s v="FlexiHealth"/>
        <s v="MediShield"/>
        <s v="MutualSécurité"/>
        <s v="OptiCare"/>
        <s v="Zenith Mutualité"/>
        <s v="Harmonie Santé"/>
        <s v="SafeHealth"/>
        <m/>
      </sharedItems>
    </cacheField>
    <cacheField name="Identifiant" numFmtId="0">
      <sharedItems containsBlank="1"/>
    </cacheField>
    <cacheField name="Sexe" numFmtId="0">
      <sharedItems containsBlank="1"/>
    </cacheField>
    <cacheField name="Date de naissance" numFmtId="14">
      <sharedItems containsNonDate="0" containsDate="1" containsString="0" containsBlank="1" minDate="1951-03-02T00:00:00" maxDate="1999-06-30T00:00:00"/>
    </cacheField>
    <cacheField name="Mois de cotisation" numFmtId="0">
      <sharedItems containsBlank="1"/>
    </cacheField>
    <cacheField name="Année de cotisation" numFmtId="0">
      <sharedItems containsString="0" containsBlank="1" containsNumber="1" containsInteger="1" minValue="2017" maxValue="2022"/>
    </cacheField>
    <cacheField name="Montant de la cotisation" numFmtId="0">
      <sharedItems containsString="0" containsBlank="1" containsNumber="1" containsInteger="1" minValue="20000" maxValue="230000"/>
    </cacheField>
    <cacheField name="Transfert gouvernemental" numFmtId="0">
      <sharedItems containsString="0" containsBlank="1" containsNumber="1" containsInteger="1" minValue="10000" maxValue="30000"/>
    </cacheField>
    <cacheField name="Statut " numFmtId="0">
      <sharedItems containsBlank="1"/>
    </cacheField>
    <cacheField name="Type d'affiliation au régime " numFmtId="0">
      <sharedItems containsBlank="1"/>
    </cacheField>
    <cacheField name="Niveau de prise en charge" numFmtId="0">
      <sharedItems containsBlank="1"/>
    </cacheField>
    <cacheField name="Identifiant2" numFmtId="0">
      <sharedItems containsBlank="1"/>
    </cacheField>
    <cacheField name="Lien avec l'assuré principal" numFmtId="0">
      <sharedItems containsBlank="1"/>
    </cacheField>
    <cacheField name="Sexe2" numFmtId="0">
      <sharedItems containsBlank="1"/>
    </cacheField>
    <cacheField name="Type d'affiliation au régime" numFmtId="0">
      <sharedItems containsBlank="1"/>
    </cacheField>
    <cacheField name="Date de naissance2" numFmtId="14">
      <sharedItems containsNonDate="0" containsDate="1" containsString="0" containsBlank="1" minDate="2000-02-17T00:00:00" maxDate="2021-03-06T00:00:00"/>
    </cacheField>
    <cacheField name="Identifiant_agent de saisi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5">
  <r>
    <x v="0"/>
    <x v="0"/>
    <s v="Saraya"/>
    <x v="0"/>
    <s v="ABC_AP_23"/>
    <s v="Homme"/>
    <d v="1976-08-23T00:00:00"/>
    <s v="Février"/>
    <n v="2017"/>
    <n v="145000"/>
    <n v="25000"/>
    <s v="1. Actif"/>
    <s v="1. Classiques"/>
    <s v="1. 80% pour les soins et 50% pour les médicaments"/>
    <s v="ABC_PAC_55"/>
    <s v="1. Parent"/>
    <s v="Femme"/>
    <s v="1. Classiques"/>
    <d v="2012-07-09T00:00:00"/>
    <s v="ABC"/>
  </r>
  <r>
    <x v="1"/>
    <x v="1"/>
    <s v="Tivaouane"/>
    <x v="1"/>
    <s v="GHI_AP_7"/>
    <s v="Femme"/>
    <d v="1968-06-15T00:00:00"/>
    <s v="Septembre"/>
    <n v="2020"/>
    <n v="20000"/>
    <n v="20000"/>
    <s v="2. Retraité"/>
    <s v="2. BSF"/>
    <s v="2. 100% de prise en charge"/>
    <s v="GHI_PAC_61"/>
    <s v="2. Fils/fille"/>
    <s v="Homme"/>
    <s v="2. BSF"/>
    <d v="2018-04-22T00:00:00"/>
    <s v="GHI"/>
  </r>
  <r>
    <x v="2"/>
    <x v="2"/>
    <s v="Vélingara"/>
    <x v="2"/>
    <s v="DEF_AP_45"/>
    <s v="Femme"/>
    <d v="1985-12-04T00:00:00"/>
    <s v="Août"/>
    <n v="2020"/>
    <n v="125000"/>
    <m/>
    <s v="2. Retraité"/>
    <s v="3. CEC"/>
    <s v="1. 80% pour les soins et 50% pour les médicaments"/>
    <s v="DEF_PAC_28"/>
    <s v="5. Sœur/frère"/>
    <s v="Homme"/>
    <s v="3. CEC"/>
    <d v="2010-12-05T00:00:00"/>
    <s v="DEF"/>
  </r>
  <r>
    <x v="0"/>
    <x v="0"/>
    <s v="Saraya"/>
    <x v="3"/>
    <s v="ABC_AP_13"/>
    <s v="Homme"/>
    <d v="1955-11-09T00:00:00"/>
    <s v="Janvier"/>
    <n v="2021"/>
    <n v="150000"/>
    <n v="30000"/>
    <s v="1. Actif"/>
    <s v="4. CMU Eleves"/>
    <s v="1. 80% pour les soins et 50% pour les médicaments"/>
    <s v="ABC_PAC_74"/>
    <s v="3. Cousin/cousine"/>
    <s v="Femme"/>
    <s v="4. CMU Eleves"/>
    <d v="2005-08-30T00:00:00"/>
    <s v="ABC"/>
  </r>
  <r>
    <x v="0"/>
    <x v="3"/>
    <s v="Kébémer"/>
    <x v="4"/>
    <s v="IJK_AP_9"/>
    <s v="Homme"/>
    <d v="1992-07-30T00:00:00"/>
    <s v="Juillet"/>
    <n v="2019"/>
    <n v="230000"/>
    <n v="15000"/>
    <s v="9. Étudiant"/>
    <s v="5. CMU Daara"/>
    <s v="9. 25% pour les soins et 68% pour les médicaments"/>
    <s v="IJK_PAC_69"/>
    <s v="4. Grand parent"/>
    <s v="Homme"/>
    <s v="7. Femme enceinte"/>
    <d v="2016-03-18T00:00:00"/>
    <s v="IJK"/>
  </r>
  <r>
    <x v="3"/>
    <x v="4"/>
    <s v="Bambey"/>
    <x v="5"/>
    <s v="DEF_AP_36"/>
    <s v="Femme"/>
    <d v="1963-09-18T00:00:00"/>
    <s v="Janvier"/>
    <n v="2017"/>
    <n v="45000"/>
    <n v="25000"/>
    <s v="1. Actif"/>
    <s v="6. Autre indigent"/>
    <s v="1. 80% pour les soins et 50% pour les médicaments"/>
    <s v="DEF_PAC_31"/>
    <s v="7. Tante/oncle"/>
    <s v="Homme"/>
    <s v="7. Femme enceinte"/>
    <d v="2007-11-11T00:00:00"/>
    <s v="DEF"/>
  </r>
  <r>
    <x v="1"/>
    <x v="4"/>
    <s v="Bambey"/>
    <x v="6"/>
    <s v="DEF_AP_45"/>
    <s v="Homme"/>
    <d v="1978-03-07T00:00:00"/>
    <s v="Avril"/>
    <n v="2022"/>
    <n v="230000"/>
    <n v="10000"/>
    <s v="1. Actif"/>
    <s v="7. Femme enceinte"/>
    <s v="2. 100% de prise en charge"/>
    <s v="DEF_PAC_72"/>
    <s v="8. Employé"/>
    <s v="Femme"/>
    <s v="7. Femme enceinte"/>
    <d v="2019-09-03T00:00:00"/>
    <s v="DEF"/>
  </r>
  <r>
    <x v="0"/>
    <x v="5"/>
    <s v="Guinguinéo"/>
    <x v="7"/>
    <s v="LMN_AP_18"/>
    <s v="Homme"/>
    <d v="1989-05-12T00:00:00"/>
    <s v="Mai"/>
    <n v="2020"/>
    <n v="65000"/>
    <n v="20000"/>
    <s v="1. Actif"/>
    <s v="8. Enfant de moins 5 ans"/>
    <s v="1. 80% pour les soins et 50% pour les médicaments"/>
    <s v="LMN_PAC_18"/>
    <s v="99. Filleul"/>
    <s v="Homme"/>
    <s v="8. Enfant de moins 5 ans"/>
    <d v="2006-05-26T00:00:00"/>
    <s v="LMN"/>
  </r>
  <r>
    <x v="3"/>
    <x v="6"/>
    <s v="Foundiougne"/>
    <x v="3"/>
    <s v="ABC_AP_5"/>
    <s v="Femme"/>
    <d v="1961-10-25T00:00:00"/>
    <s v="Juin"/>
    <n v="2019"/>
    <n v="120000"/>
    <n v="30000"/>
    <s v="2. Retraité"/>
    <s v="9. Assurance-vie"/>
    <s v="1. 80% pour les soins et 50% pour les médicaments"/>
    <s v="ABC_PAC_65"/>
    <s v="1. Parent"/>
    <s v="Femme"/>
    <s v="9. Assurance-vie"/>
    <d v="2014-01-14T00:00:00"/>
    <s v="ABC"/>
  </r>
  <r>
    <x v="2"/>
    <x v="0"/>
    <s v="Saraya"/>
    <x v="8"/>
    <s v="IJK_AP_29"/>
    <s v="Femme"/>
    <d v="1958-01-28T00:00:00"/>
    <s v="Juin"/>
    <n v="2019"/>
    <n v="80000"/>
    <m/>
    <s v="9. Fonctionnaire"/>
    <s v="1. Classiques"/>
    <s v="2. 100% de prise en charge"/>
    <s v="IJK_PAC_29"/>
    <s v="2. Fils/fille"/>
    <s v="Homme"/>
    <s v="9. Assurance-vie"/>
    <d v="2015-10-07T00:00:00"/>
    <s v="IJK"/>
  </r>
  <r>
    <x v="3"/>
    <x v="5"/>
    <s v="Guinguinéo"/>
    <x v="9"/>
    <s v="LMN_AP_42"/>
    <s v="Femme"/>
    <d v="1974-04-19T00:00:00"/>
    <s v="Août"/>
    <n v="2018"/>
    <n v="95000"/>
    <n v="20000"/>
    <s v="2. Retraité"/>
    <s v="2. BSF"/>
    <s v="2. 100% de prise en charge"/>
    <s v="LMN_PAC_42"/>
    <s v="1. Parent"/>
    <s v="Femme"/>
    <s v="2. BSF"/>
    <d v="2003-07-20T00:00:00"/>
    <s v="LMN"/>
  </r>
  <r>
    <x v="4"/>
    <x v="6"/>
    <s v="Foundiougne"/>
    <x v="3"/>
    <s v="DEF_AP_31"/>
    <s v="Homme"/>
    <d v="1995-11-06T00:00:00"/>
    <s v="Juin"/>
    <n v="2017"/>
    <n v="180000"/>
    <n v="25000"/>
    <s v="1. Actif"/>
    <s v="3. CEC"/>
    <s v="1. 80% pour les soins et 50% pour les médicaments"/>
    <s v="DEF_PAC_11"/>
    <s v="5. Sœur/frère"/>
    <s v="Homme"/>
    <s v="3. CEC"/>
    <d v="2020-11-04T00:00:00"/>
    <s v="DEF"/>
  </r>
  <r>
    <x v="1"/>
    <x v="4"/>
    <s v="Bambey"/>
    <x v="4"/>
    <s v="ABC_AP_20"/>
    <s v="Femme"/>
    <d v="1969-08-22T00:00:00"/>
    <s v="Avril"/>
    <n v="2018"/>
    <n v="175000"/>
    <n v="30000"/>
    <s v="1. Actif"/>
    <s v="4. CMU Eleves"/>
    <s v="9. 34% pour les soins et 29% pour les médicaments"/>
    <s v="ABC_PAC_20"/>
    <s v="4. Grand parent"/>
    <s v="Homme"/>
    <s v="4. CMU Eleves"/>
    <d v="2009-02-17T00:00:00"/>
    <s v="ABC"/>
  </r>
  <r>
    <x v="1"/>
    <x v="1"/>
    <s v="Tivaouane"/>
    <x v="3"/>
    <s v="LMN_AP_55"/>
    <s v="Homme"/>
    <d v="1982-02-10T00:00:00"/>
    <s v="Octobre"/>
    <n v="2018"/>
    <n v="75000"/>
    <n v="10000"/>
    <s v="2. Retraité"/>
    <s v="5. CMU Daara"/>
    <s v="2. 100% de prise en charge"/>
    <s v="LMN_PAC_55"/>
    <s v="3. Cousin/cousine"/>
    <s v="Femme"/>
    <s v="5. CMU Daara"/>
    <d v="2013-06-29T00:00:00"/>
    <s v="LMN"/>
  </r>
  <r>
    <x v="0"/>
    <x v="7"/>
    <s v="Bignona"/>
    <x v="9"/>
    <s v="GHI_AP_10"/>
    <s v="Homme"/>
    <d v="1971-07-03T00:00:00"/>
    <s v="Février"/>
    <n v="2019"/>
    <n v="145000"/>
    <m/>
    <s v="2. Retraité"/>
    <s v="6. Autre indigent"/>
    <s v="1. 80% pour les soins et 50% pour les médicaments"/>
    <s v="GHI_PAC_10"/>
    <s v="2. Fils/fille"/>
    <s v="Homme"/>
    <s v="5. CMU Daara"/>
    <d v="2017-12-12T00:00:00"/>
    <s v="GHI"/>
  </r>
  <r>
    <x v="3"/>
    <x v="1"/>
    <s v="Tivaouane"/>
    <x v="8"/>
    <s v="IJK_AP_49"/>
    <s v="Homme"/>
    <d v="1987-12-14T00:00:00"/>
    <s v="Mars"/>
    <n v="2020"/>
    <n v="175000"/>
    <n v="15000"/>
    <s v="9. Étudiant"/>
    <s v="7. Femme enceinte"/>
    <s v="1. 80% pour les soins et 50% pour les médicaments"/>
    <s v="IJK_PAC_94"/>
    <s v="8. Employé"/>
    <s v="Femme"/>
    <s v="5. CMU Daara"/>
    <d v="2008-09-25T00:00:00"/>
    <s v="IJK"/>
  </r>
  <r>
    <x v="2"/>
    <x v="4"/>
    <s v="Bambey"/>
    <x v="3"/>
    <s v="DEF_AP_17"/>
    <s v="Femme"/>
    <d v="1965-09-08T00:00:00"/>
    <s v="Juillet"/>
    <n v="2017"/>
    <n v="65000"/>
    <n v="25000"/>
    <s v="1. Actif"/>
    <s v="8. Enfant de moins 5 ans"/>
    <s v="2. 100% de prise en charge"/>
    <s v="DEF_PAC_17"/>
    <s v="99. Parrain"/>
    <s v="Homme"/>
    <s v="8. Enfant de moins 5 ans"/>
    <d v="2011-04-08T00:00:00"/>
    <s v="DEF"/>
  </r>
  <r>
    <x v="1"/>
    <x v="3"/>
    <s v="Kébémer"/>
    <x v="5"/>
    <s v="ABC_AP_40"/>
    <s v="Homme"/>
    <d v="1999-06-29T00:00:00"/>
    <s v="Avril"/>
    <n v="2020"/>
    <n v="20000"/>
    <n v="20000"/>
    <s v="2. Retraité"/>
    <s v="9. Assurance habitation"/>
    <s v="1. 80% pour les soins et 50% pour les médicaments"/>
    <s v="ABC_PAC_40"/>
    <s v="7. Tante/oncle"/>
    <s v="Femme"/>
    <s v="9. Assurance habitation"/>
    <d v="2021-01-01T00:00:00"/>
    <s v="ABC"/>
  </r>
  <r>
    <x v="0"/>
    <x v="8"/>
    <s v="Dagana"/>
    <x v="10"/>
    <s v="GHI_AP_28"/>
    <s v="Homme"/>
    <d v="1954-01-11T00:00:00"/>
    <s v="Juin"/>
    <n v="2021"/>
    <n v="125000"/>
    <n v="10000"/>
    <s v="9. Fonctionnaire"/>
    <s v="1. Classiques"/>
    <s v="9. 25% pour les soins et 68% pour les médicaments"/>
    <s v="GHI_PAC_28"/>
    <s v="1. Parent"/>
    <s v="Homme"/>
    <s v="1. Classiques"/>
    <d v="2014-08-15T00:00:00"/>
    <s v="GHI"/>
  </r>
  <r>
    <x v="0"/>
    <x v="4"/>
    <s v="Bambey"/>
    <x v="11"/>
    <s v="IJK_AP_14"/>
    <s v="Femme"/>
    <d v="1980-03-20T00:00:00"/>
    <s v="Mai"/>
    <n v="2020"/>
    <n v="45000"/>
    <m/>
    <s v="1. Actif"/>
    <s v="2. BSF"/>
    <s v="2. 100% de prise en charge"/>
    <s v="IJK_PAC_14"/>
    <s v="3. Cousin/cousine"/>
    <s v="Femme"/>
    <s v="2. BSF"/>
    <d v="2004-03-02T00:00:00"/>
    <s v="IJK"/>
  </r>
  <r>
    <x v="4"/>
    <x v="1"/>
    <s v="Tivaouane"/>
    <x v="4"/>
    <s v="LMN_AP_33"/>
    <s v="Femme"/>
    <d v="1972-05-17T00:00:00"/>
    <s v="Septembre"/>
    <n v="2017"/>
    <n v="145000"/>
    <n v="30000"/>
    <s v="2. Retraité"/>
    <s v="3. CEC"/>
    <s v="1. 80% pour les soins et 50% pour les médicaments"/>
    <s v="LMN_PAC_33"/>
    <s v="2. Fils/fille"/>
    <s v="Femme"/>
    <s v="3. CEC"/>
    <d v="2016-05-09T00:00:00"/>
    <s v="LMN"/>
  </r>
  <r>
    <x v="2"/>
    <x v="0"/>
    <s v="Saraya"/>
    <x v="0"/>
    <s v="DEF_AP_26"/>
    <s v="Homme"/>
    <d v="1990-10-05T00:00:00"/>
    <s v="Avril"/>
    <n v="2018"/>
    <n v="180000"/>
    <n v="20000"/>
    <s v="2. Retraité"/>
    <s v="4. CMU Eleves"/>
    <s v="1. 80% pour les soins et 50% pour les médicaments"/>
    <s v="DEF_PAC_26"/>
    <s v="4. Grand parent"/>
    <s v="Homme"/>
    <s v="4. CMU Eleves"/>
    <d v="2019-10-23T00:00:00"/>
    <s v="DEF"/>
  </r>
  <r>
    <x v="3"/>
    <x v="7"/>
    <s v="Bignona"/>
    <x v="6"/>
    <s v="ABC_AP_48"/>
    <s v="Femme"/>
    <d v="1959-11-26T00:00:00"/>
    <s v="Juillet"/>
    <n v="2017"/>
    <n v="230000"/>
    <n v="15000"/>
    <s v="1. Actif"/>
    <s v="5. CMU Daara"/>
    <s v="1. 80% pour les soins et 50% pour les médicaments"/>
    <s v="ABC_PAC_48"/>
    <s v="5. Sœur/frère"/>
    <s v="Femme"/>
    <s v="5. CMU Daara"/>
    <d v="2005-06-06T00:00:00"/>
    <s v="ABC"/>
  </r>
  <r>
    <x v="1"/>
    <x v="3"/>
    <s v="Kébémer"/>
    <x v="2"/>
    <s v="GHI_AP_39"/>
    <s v="Femme"/>
    <d v="1977-04-13T00:00:00"/>
    <s v="Juin"/>
    <n v="2017"/>
    <n v="75000"/>
    <n v="10000"/>
    <s v="1. Actif"/>
    <s v="6. Autre indigent"/>
    <s v="2. 100% de prise en charge"/>
    <s v="GHI_PAC_39"/>
    <s v="8. Employé"/>
    <s v="Homme"/>
    <s v="6. Autre indigent"/>
    <d v="2010-01-19T00:00:00"/>
    <s v="GHI"/>
  </r>
  <r>
    <x v="2"/>
    <x v="7"/>
    <s v="Bignona"/>
    <x v="11"/>
    <s v="DEF_AP_45"/>
    <s v="Homme"/>
    <d v="1986-02-21T00:00:00"/>
    <s v="Octobre"/>
    <n v="2022"/>
    <n v="80000"/>
    <n v="25000"/>
    <s v="9. Indéterminé"/>
    <s v="7. Femme enceinte"/>
    <s v="1. 80% pour les soins et 50% pour les médicaments"/>
    <s v="DEF_PAC_82"/>
    <s v="1. Parent"/>
    <s v="Femme"/>
    <s v="6. Autre indigent"/>
    <d v="2018-07-31T00:00:00"/>
    <s v="DEF"/>
  </r>
  <r>
    <x v="1"/>
    <x v="1"/>
    <s v="Tivaouane"/>
    <x v="7"/>
    <s v="IJK_AP_50"/>
    <s v="Homme"/>
    <d v="1960-08-02T00:00:00"/>
    <s v="Avril"/>
    <n v="2019"/>
    <n v="230000"/>
    <n v="30000"/>
    <s v="1. Actif"/>
    <s v="8. Enfant de moins 5 ans"/>
    <s v="9. 34% pour les soins et 29% pour les médicaments"/>
    <s v="IJK_PAC_56"/>
    <s v="2. Fils/fille"/>
    <s v="Homme"/>
    <s v="6. Autre indigent"/>
    <d v="2006-11-13T00:00:00"/>
    <s v="IJK"/>
  </r>
  <r>
    <x v="3"/>
    <x v="4"/>
    <s v="Bambey"/>
    <x v="6"/>
    <s v="DEF_AP_4"/>
    <s v="Femme"/>
    <d v="1994-01-24T00:00:00"/>
    <s v="Décembre"/>
    <n v="2018"/>
    <n v="20000"/>
    <m/>
    <s v="1. Actif"/>
    <s v="9. Assurance automobile"/>
    <s v="2. 100% de prise en charge"/>
    <s v="DEF_PAC_43"/>
    <s v="7. Tante/oncle"/>
    <s v="Femme"/>
    <s v="6. Autre indigent"/>
    <d v="2017-04-26T00:00:00"/>
    <s v="DEF"/>
  </r>
  <r>
    <x v="1"/>
    <x v="2"/>
    <s v="Vélingara"/>
    <x v="12"/>
    <s v="ABC_AP_57"/>
    <s v="Homme"/>
    <d v="1956-06-16T00:00:00"/>
    <s v="Mai"/>
    <n v="2020"/>
    <n v="175000"/>
    <n v="20000"/>
    <s v="2. Retraité"/>
    <s v="1. Classiques"/>
    <s v="2. 100% de prise en charge"/>
    <s v="ABC_PAC_57"/>
    <s v="3. Cousin/cousine"/>
    <s v="Homme"/>
    <s v="6. Autre indigent"/>
    <d v="2015-12-10T00:00:00"/>
    <s v="ABC"/>
  </r>
  <r>
    <x v="3"/>
    <x v="7"/>
    <s v="Bignona"/>
    <x v="0"/>
    <s v="IJK_AP_22"/>
    <s v="Femme"/>
    <d v="1967-12-01T00:00:00"/>
    <s v="Juin"/>
    <n v="2019"/>
    <n v="120000"/>
    <n v="15000"/>
    <s v="2. Retraité"/>
    <s v="2. BSF"/>
    <s v="1. 80% pour les soins et 50% pour les médicaments"/>
    <s v="IJK_PAC_33"/>
    <s v="99. Ami"/>
    <s v="Femme"/>
    <s v="7. Femme enceinte"/>
    <d v="2013-09-04T00:00:00"/>
    <s v="IJK"/>
  </r>
  <r>
    <x v="0"/>
    <x v="3"/>
    <s v="Kébémer"/>
    <x v="2"/>
    <s v="LMN_AP_59"/>
    <s v="Femme"/>
    <d v="1983-07-27T00:00:00"/>
    <s v="Août"/>
    <n v="2022"/>
    <n v="230000"/>
    <n v="10000"/>
    <s v="1. Actif"/>
    <s v="3. CEC"/>
    <s v="2. 100% de prise en charge"/>
    <s v="LMN_PAC_59"/>
    <s v="5. Sœur/frère"/>
    <s v="Homme"/>
    <s v="7. Femme enceinte"/>
    <d v="2000-02-17T00:00:00"/>
    <s v="LMN"/>
  </r>
  <r>
    <x v="1"/>
    <x v="5"/>
    <s v="Guinguinéo"/>
    <x v="11"/>
    <s v="GHI_AP_3"/>
    <s v="Femme"/>
    <d v="1973-09-09T00:00:00"/>
    <s v="Mai"/>
    <n v="2018"/>
    <n v="125000"/>
    <n v="30000"/>
    <s v="1. Actif"/>
    <s v="4. CMU Eleves"/>
    <s v="1. 80% pour les soins et 50% pour les médicaments"/>
    <s v="GHI_PAC_74"/>
    <s v="4. Grand parent"/>
    <s v="Homme"/>
    <s v="7. Femme enceinte"/>
    <d v="2003-08-20T00:00:00"/>
    <s v="GHI"/>
  </r>
  <r>
    <x v="2"/>
    <x v="9"/>
    <s v="Kanel"/>
    <x v="0"/>
    <s v="DEF_AP_16"/>
    <s v="Homme"/>
    <d v="1991-11-18T00:00:00"/>
    <s v="Mai"/>
    <n v="2018"/>
    <n v="150000"/>
    <m/>
    <s v="1. Actif"/>
    <s v="5. CMU Daara"/>
    <s v="2. 100% de prise en charge"/>
    <s v="DEF_PAC_22"/>
    <s v="2. Fils/fille"/>
    <s v="Femme"/>
    <s v="2. BSF"/>
    <d v="2012-11-03T00:00:00"/>
    <s v="DEF"/>
  </r>
  <r>
    <x v="3"/>
    <x v="1"/>
    <s v="Tivaouane"/>
    <x v="1"/>
    <s v="ABC_AP_2"/>
    <s v="Femme"/>
    <d v="1957-05-30T00:00:00"/>
    <s v="Février"/>
    <n v="2018"/>
    <n v="230000"/>
    <n v="25000"/>
    <s v="1. Actif"/>
    <s v="6. Autre indigent"/>
    <s v="2. 100% de prise en charge"/>
    <s v="ABC_PAC_81"/>
    <s v="3. Cousin/cousine"/>
    <s v="Homme"/>
    <s v="2. BSF"/>
    <d v="2009-06-16T00:00:00"/>
    <s v="ABC"/>
  </r>
  <r>
    <x v="3"/>
    <x v="10"/>
    <s v="Koumpentoum"/>
    <x v="8"/>
    <s v="IJK_AP_47"/>
    <s v="Femme"/>
    <d v="1979-02-08T00:00:00"/>
    <s v="Mars"/>
    <n v="2021"/>
    <n v="230000"/>
    <n v="20000"/>
    <s v="1. Actif"/>
    <s v="7. Femme enceinte"/>
    <s v="1. 80% pour les soins et 50% pour les médicaments"/>
    <s v="IJK_PAC_51"/>
    <s v="1. Parent"/>
    <s v="Homme"/>
    <s v="2. BSF"/>
    <d v="2011-01-29T00:00:00"/>
    <s v="IJK"/>
  </r>
  <r>
    <x v="0"/>
    <x v="2"/>
    <s v="Vélingara"/>
    <x v="0"/>
    <s v="GHI_AP_25"/>
    <s v="Homme"/>
    <d v="1962-10-12T00:00:00"/>
    <s v="Janvier"/>
    <n v="2018"/>
    <n v="145000"/>
    <n v="30000"/>
    <s v="9. Étudiant"/>
    <s v="8. Enfant de moins 5 ans"/>
    <s v="1. 80% pour les soins et 50% pour les médicaments"/>
    <s v="GHI_PAC_45"/>
    <s v="8. Employé"/>
    <s v="Femme"/>
    <s v="2. BSF"/>
    <d v="2014-07-11T00:00:00"/>
    <s v="GHI"/>
  </r>
  <r>
    <x v="2"/>
    <x v="2"/>
    <s v="Vélingara"/>
    <x v="5"/>
    <s v="LMN_AP_41"/>
    <s v="Homme"/>
    <d v="1988-04-03T00:00:00"/>
    <s v="Avril"/>
    <n v="2021"/>
    <n v="175000"/>
    <n v="10000"/>
    <s v="1. Actif"/>
    <s v="9. Assurance santé"/>
    <s v="9. 25% pour les soins et 68% pour les médicaments"/>
    <s v="LMN_PAC_81"/>
    <s v="99. Marraine"/>
    <s v="Homme"/>
    <s v="2. BSF"/>
    <d v="2018-03-24T00:00:00"/>
    <s v="LMN"/>
  </r>
  <r>
    <x v="1"/>
    <x v="7"/>
    <s v="Bignona"/>
    <x v="4"/>
    <s v="IJK_AP_47"/>
    <s v="Homme"/>
    <d v="1996-01-14T00:00:00"/>
    <s v="Juin"/>
    <n v="2022"/>
    <n v="230000"/>
    <m/>
    <s v="2. Retraité"/>
    <s v="1. Classiques"/>
    <s v="1. 80% pour les soins et 50% pour les médicaments"/>
    <s v="IJK_PAC_43"/>
    <s v="7. Tante/oncle"/>
    <s v="Femme"/>
    <s v="2. BSF"/>
    <d v="2006-10-07T00:00:00"/>
    <s v="IJK"/>
  </r>
  <r>
    <x v="3"/>
    <x v="0"/>
    <s v="Saraya"/>
    <x v="6"/>
    <s v="ABC_AP_19"/>
    <s v="Femme"/>
    <d v="1975-07-05T00:00:00"/>
    <s v="Juin"/>
    <n v="2022"/>
    <n v="80000"/>
    <n v="15000"/>
    <s v="9. Fonctionnaire"/>
    <s v="2. BSF"/>
    <s v="9. 34% pour les soins et 29% pour les médicaments"/>
    <s v="ABC_PAC_62"/>
    <s v="5. Sœur/frère"/>
    <s v="Homme"/>
    <s v="2. BSF"/>
    <d v="2019-04-20T00:00:00"/>
    <s v="ABC"/>
  </r>
  <r>
    <x v="1"/>
    <x v="0"/>
    <s v="Saraya"/>
    <x v="1"/>
    <s v="IJK_AP_35"/>
    <s v="Femme"/>
    <d v="1952-03-22T00:00:00"/>
    <s v="Décembre"/>
    <n v="2019"/>
    <n v="20000"/>
    <m/>
    <s v="2. Retraité"/>
    <s v="3. CEC"/>
    <s v="2. 100% de prise en charge"/>
    <s v="IJK_PAC_15"/>
    <s v="2. Fils/fille"/>
    <s v="Femme"/>
    <s v="3. CEC"/>
    <d v="2004-12-02T00:00:00"/>
    <s v="IJK"/>
  </r>
  <r>
    <x v="0"/>
    <x v="6"/>
    <s v="Foundiougne"/>
    <x v="3"/>
    <s v="GHI_AP_58"/>
    <s v="Homme"/>
    <d v="1981-09-10T00:00:00"/>
    <s v="Janvier"/>
    <n v="2017"/>
    <n v="125000"/>
    <n v="20000"/>
    <s v="1. Actif"/>
    <s v="4. CMU Eleves"/>
    <s v="9. 25% pour les soins et 68% pour les médicaments"/>
    <s v="GHI_PAC_83"/>
    <s v="3. Cousin/cousine"/>
    <s v="Homme"/>
    <s v="4. CMU Eleves"/>
    <d v="2017-08-15T00:00:00"/>
    <s v="GHI"/>
  </r>
  <r>
    <x v="2"/>
    <x v="10"/>
    <s v="Koumpentoum"/>
    <x v="9"/>
    <s v="DEF_AP_45"/>
    <s v="Homme"/>
    <d v="1964-06-19T00:00:00"/>
    <s v="Février"/>
    <n v="2020"/>
    <n v="145000"/>
    <n v="30000"/>
    <s v="1. Actif"/>
    <s v="5. CMU Daara"/>
    <s v="2. 100% de prise en charge"/>
    <s v="DEF_PAC_42"/>
    <s v="1. Parent"/>
    <s v="Femme"/>
    <s v="5. CMU Daara"/>
    <d v="2015-05-28T00:00:00"/>
    <s v="DEF"/>
  </r>
  <r>
    <x v="4"/>
    <x v="8"/>
    <s v="Dagana"/>
    <x v="0"/>
    <s v="DEF_AP_11"/>
    <s v="Femme"/>
    <d v="1953-11-07T00:00:00"/>
    <s v="Avril"/>
    <n v="2017"/>
    <n v="230000"/>
    <n v="25000"/>
    <s v="1. Actif"/>
    <s v="6. Autre indigent"/>
    <s v="2. 100% de prise en charge"/>
    <s v="DEF_PAC_41"/>
    <s v="4. Grand parent"/>
    <s v="Homme"/>
    <s v="6. Autre indigent"/>
    <d v="2016-01-10T00:00:00"/>
    <s v="DEF"/>
  </r>
  <r>
    <x v="3"/>
    <x v="0"/>
    <s v="Saraya"/>
    <x v="8"/>
    <s v="ABC_AP_27"/>
    <s v="Homme"/>
    <d v="1993-08-28T00:00:00"/>
    <s v="Août"/>
    <n v="2022"/>
    <n v="175000"/>
    <n v="10000"/>
    <s v="1. Actif"/>
    <s v="7. Femme enceinte"/>
    <s v="1. 80% pour les soins et 50% pour les médicaments"/>
    <s v="ABC_PAC_62"/>
    <s v="8. Employé"/>
    <s v="Femme"/>
    <s v="7. Femme enceinte"/>
    <d v="2008-07-22T00:00:00"/>
    <s v="ABC"/>
  </r>
  <r>
    <x v="2"/>
    <x v="2"/>
    <s v="Vélingara"/>
    <x v="4"/>
    <s v="IJK_AP_44"/>
    <s v="Femme"/>
    <d v="1970-12-06T00:00:00"/>
    <s v="Mai"/>
    <n v="2021"/>
    <n v="230000"/>
    <m/>
    <s v="1. Actif"/>
    <s v="8. Enfant de moins 5 ans"/>
    <s v="9. 34% pour les soins et 29% pour les médicaments"/>
    <s v="IJK_PAC_84"/>
    <s v="7. Tante/oncle"/>
    <s v="Homme"/>
    <s v="8. Enfant de moins 5 ans"/>
    <d v="2021-03-05T00:00:00"/>
    <s v="IJK"/>
  </r>
  <r>
    <x v="1"/>
    <x v="9"/>
    <s v="Kanel"/>
    <x v="10"/>
    <s v="LMN_AP_53"/>
    <s v="Homme"/>
    <d v="1984-04-20T00:00:00"/>
    <s v="Juin"/>
    <n v="2022"/>
    <n v="180000"/>
    <n v="20000"/>
    <s v="2. Retraité"/>
    <s v="9. Assurance voyage"/>
    <s v="1. 80% pour les soins et 50% pour les médicaments"/>
    <s v="LMN_PAC_53"/>
    <s v="99. Connaissance proche"/>
    <s v="Femme"/>
    <s v="9. Assurance voyage"/>
    <d v="2013-09-18T00:00:00"/>
    <s v="LMN"/>
  </r>
  <r>
    <x v="0"/>
    <x v="4"/>
    <s v="Bambey"/>
    <x v="1"/>
    <s v="GHI_AP_32"/>
    <s v="Femme"/>
    <d v="1966-01-11T00:00:00"/>
    <s v="Juin"/>
    <n v="2018"/>
    <n v="95000"/>
    <n v="10000"/>
    <s v="2. Retraité"/>
    <s v="1. Classiques"/>
    <s v="1. 80% pour les soins et 50% pour les médicaments"/>
    <s v="GHI_PAC_32"/>
    <s v="2. Fils/fille"/>
    <s v="Homme"/>
    <s v="1. Classiques"/>
    <d v="2012-04-30T00:00:00"/>
    <s v="GHI"/>
  </r>
  <r>
    <x v="1"/>
    <x v="3"/>
    <s v="Kébémer"/>
    <x v="3"/>
    <s v="IJK_AP_47"/>
    <s v="Homme"/>
    <d v="1998-07-26T00:00:00"/>
    <s v="Août"/>
    <n v="2019"/>
    <n v="150000"/>
    <n v="30000"/>
    <s v="9. Fonctionnaire"/>
    <s v="2. BSF"/>
    <s v="1. 80% pour les soins et 50% pour les médicaments"/>
    <s v="IJK_PAC_92"/>
    <s v="1. Parent"/>
    <s v="Femme"/>
    <s v="2. BSF"/>
    <d v="2010-10-13T00:00:00"/>
    <s v="IJK"/>
  </r>
  <r>
    <x v="0"/>
    <x v="1"/>
    <s v="Tivaouane"/>
    <x v="11"/>
    <s v="ABC_AP_54"/>
    <s v="Femme"/>
    <d v="1979-05-16T00:00:00"/>
    <s v="Mars"/>
    <n v="2020"/>
    <n v="45000"/>
    <n v="25000"/>
    <s v="2. Retraité"/>
    <s v="3. CEC"/>
    <s v="9. 25% pour les soins et 68% pour les médicaments"/>
    <s v="ABC_PAC_14"/>
    <s v="5. Sœur/frère"/>
    <s v="Homme"/>
    <s v="3. CEC"/>
    <d v="2007-06-26T00:00:00"/>
    <s v="ABC"/>
  </r>
  <r>
    <x v="4"/>
    <x v="10"/>
    <s v="Koumpentoum"/>
    <x v="2"/>
    <s v="GHI_AP_6"/>
    <s v="Homme"/>
    <d v="1951-03-02T00:00:00"/>
    <s v="Septembre"/>
    <n v="2017"/>
    <n v="230000"/>
    <m/>
    <s v="1. Actif"/>
    <s v="4. CMU Eleves"/>
    <s v="9. 25% pour les soins et 68% pour les médicaments"/>
    <s v="GHI_PAC_66"/>
    <s v="3. Cousin/cousine"/>
    <s v="Femme"/>
    <s v="4. CMU Eleves"/>
    <d v="2014-01-09T00:00:00"/>
    <s v="GHI"/>
  </r>
  <r>
    <x v="2"/>
    <x v="5"/>
    <s v="Guinguinéo"/>
    <x v="12"/>
    <s v="IJK_AP_21"/>
    <s v="Femme"/>
    <d v="1987-10-15T00:00:00"/>
    <s v="Juin"/>
    <n v="2022"/>
    <n v="145000"/>
    <n v="15000"/>
    <s v="1. Actif"/>
    <s v="5. CMU Daara"/>
    <s v="1. 80% pour les soins et 50% pour les médicaments"/>
    <s v="IJK_PAC_42"/>
    <s v="4. Grand parent"/>
    <s v="Homme"/>
    <s v="5. CMU Daara"/>
    <d v="2018-11-21T00:00:00"/>
    <s v="IJK"/>
  </r>
  <r>
    <x v="3"/>
    <x v="3"/>
    <s v="Kébémer"/>
    <x v="7"/>
    <s v="IJK_AP_47"/>
    <s v="Femme"/>
    <d v="1969-09-04T00:00:00"/>
    <s v="Avril"/>
    <n v="2021"/>
    <n v="230000"/>
    <n v="20000"/>
    <s v="2. Retraité"/>
    <s v="6. Autre indigent"/>
    <s v="9. 34% pour les soins et 29% pour les médicaments"/>
    <s v="IJK_PAC_85"/>
    <s v="8. Employé"/>
    <s v="Femme"/>
    <s v="6. Autre indigent"/>
    <d v="2006-05-04T00:00:00"/>
    <s v="IJK"/>
  </r>
  <r>
    <x v="1"/>
    <x v="8"/>
    <s v="Dagana"/>
    <x v="2"/>
    <s v="DEF_AP_8"/>
    <s v="Homme"/>
    <d v="1982-06-23T00:00:00"/>
    <s v="Juin"/>
    <n v="2017"/>
    <n v="20000"/>
    <n v="30000"/>
    <s v="2. Retraité"/>
    <s v="7. Femme enceinte"/>
    <s v="1. 80% pour les soins et 50% pour les médicaments"/>
    <s v="DEF_PAC_29"/>
    <s v="99. Filleul"/>
    <s v="Homme"/>
    <s v="7. Femme enceinte"/>
    <d v="2011-12-17T00:00:00"/>
    <s v="DEF"/>
  </r>
  <r>
    <x v="0"/>
    <x v="9"/>
    <s v="Kanel"/>
    <x v="4"/>
    <s v="ABC_AP_46"/>
    <s v="Femme"/>
    <d v="1955-12-17T00:00:00"/>
    <s v="Janvier"/>
    <n v="2021"/>
    <n v="230000"/>
    <n v="10000"/>
    <s v="9. Étudiant"/>
    <s v="8. Enfant de moins 5 ans"/>
    <s v="2. 100% de prise en charge"/>
    <s v="ABC_PAC_67"/>
    <s v="7. Tante/oncle"/>
    <s v="Femme"/>
    <s v="8. Enfant de moins 5 ans"/>
    <d v="2009-08-29T00:00:00"/>
    <s v="ABC"/>
  </r>
  <r>
    <x v="0"/>
    <x v="6"/>
    <s v="Foundiougne"/>
    <x v="6"/>
    <s v="IJK_AP_37"/>
    <s v="Femme"/>
    <d v="1978-08-09T00:00:00"/>
    <s v="Juin"/>
    <n v="2017"/>
    <n v="175000"/>
    <m/>
    <s v="1. Actif"/>
    <s v="9. Assurance responsabilité civile"/>
    <s v="2. 100% de prise en charge"/>
    <s v="IJK_PAC_37"/>
    <s v="2. Fils/fille"/>
    <s v="Homme"/>
    <s v="9. Assurance responsabilité civile"/>
    <d v="2015-04-11T00:00:00"/>
    <s v="IJK"/>
  </r>
  <r>
    <x v="2"/>
    <x v="7"/>
    <s v="Bignona"/>
    <x v="12"/>
    <s v="LMN_AP_43"/>
    <s v="Femme"/>
    <d v="1990-04-27T00:00:00"/>
    <s v="Février"/>
    <n v="2018"/>
    <n v="120000"/>
    <n v="25000"/>
    <s v="2. Retraité"/>
    <s v="1. Classiques"/>
    <s v="1. 80% pour les soins et 50% pour les médicaments"/>
    <s v="LMN_PAC_43"/>
    <s v="1. Parent"/>
    <s v="Femme"/>
    <s v="1. Classiques"/>
    <d v="2017-10-24T00:00:00"/>
    <s v="LMN"/>
  </r>
  <r>
    <x v="0"/>
    <x v="9"/>
    <s v="Kanel"/>
    <x v="5"/>
    <s v="IJK_AP_47"/>
    <s v="Femme"/>
    <d v="1963-11-21T00:00:00"/>
    <s v="Août"/>
    <n v="2019"/>
    <n v="230000"/>
    <n v="10000"/>
    <s v="9. Fonctionnaire"/>
    <s v="2. BSF"/>
    <s v="2. 100% de prise en charge"/>
    <s v="IJK_PAC_98"/>
    <s v="3. Cousin/cousine"/>
    <s v="Homme"/>
    <s v="2. BSF"/>
    <d v="2004-02-06T00:00:00"/>
    <s v="IJK"/>
  </r>
  <r>
    <x v="1"/>
    <x v="9"/>
    <s v="Kanel"/>
    <x v="10"/>
    <s v="DEF_AP_30"/>
    <s v="Homme"/>
    <d v="1985-07-03T00:00:00"/>
    <s v="Septembre"/>
    <n v="2018"/>
    <n v="125000"/>
    <n v="20000"/>
    <s v="2. Retraité"/>
    <s v="3. CEC"/>
    <s v="1. 80% pour les soins et 50% pour les médicaments"/>
    <s v="DEF_PAC_30"/>
    <s v="99. Ami"/>
    <s v="Femme"/>
    <s v="3. CEC"/>
    <d v="2005-09-19T00:00:00"/>
    <s v="DEF"/>
  </r>
  <r>
    <x v="4"/>
    <x v="4"/>
    <s v="Bambey"/>
    <x v="0"/>
    <s v="IJK_AP_47"/>
    <s v="Femme"/>
    <d v="1954-02-12T00:00:00"/>
    <s v="Octobre"/>
    <n v="2019"/>
    <n v="230000"/>
    <m/>
    <s v="9. Fonctionnaire"/>
    <s v="4. CMU Eleves"/>
    <s v="1. 80% pour les soins et 50% pour les médicaments"/>
    <s v="IJK_PAC_77"/>
    <s v="5. Sœur/frère"/>
    <s v="Homme"/>
    <s v="4. CMU Eleves"/>
    <d v="2013-07-02T00:00:00"/>
    <s v="IJK"/>
  </r>
  <r>
    <x v="3"/>
    <x v="2"/>
    <s v="Vélingara"/>
    <x v="1"/>
    <s v="IJK_AP_52"/>
    <s v="Femme"/>
    <d v="1971-09-25T00:00:00"/>
    <s v="Juin"/>
    <n v="2021"/>
    <n v="145000"/>
    <n v="15000"/>
    <s v="2. Retraité"/>
    <s v="5. CMU Daara"/>
    <s v="9. 25% pour les soins et 68% pour les médicaments"/>
    <s v="IJK_PAC_99"/>
    <s v="8. Employé"/>
    <s v="Femme"/>
    <s v="5. CMU Daara"/>
    <d v="2010-01-15T00:00:00"/>
    <s v="IJK"/>
  </r>
  <r>
    <x v="0"/>
    <x v="6"/>
    <s v="Foundiougne"/>
    <x v="2"/>
    <s v="GHI_AP_15"/>
    <s v="Homme"/>
    <d v="1992-06-08T00:00:00"/>
    <s v="Avril"/>
    <n v="2020"/>
    <n v="175000"/>
    <n v="30000"/>
    <s v="1. Actif"/>
    <s v="6. Autre indigent"/>
    <s v="1. 80% pour les soins et 50% pour les médicaments"/>
    <s v="GHI_PAC_15"/>
    <s v="7. Tante/oncle"/>
    <s v="Femme"/>
    <s v="6. Autre indigent"/>
    <d v="2016-07-28T00:00:00"/>
    <s v="GHI"/>
  </r>
  <r>
    <x v="5"/>
    <x v="11"/>
    <m/>
    <x v="13"/>
    <m/>
    <m/>
    <m/>
    <m/>
    <m/>
    <m/>
    <m/>
    <m/>
    <m/>
    <m/>
    <m/>
    <m/>
    <m/>
    <m/>
    <m/>
    <m/>
  </r>
  <r>
    <x v="5"/>
    <x v="11"/>
    <m/>
    <x v="13"/>
    <m/>
    <m/>
    <m/>
    <m/>
    <m/>
    <m/>
    <m/>
    <m/>
    <m/>
    <m/>
    <m/>
    <m/>
    <m/>
    <m/>
    <m/>
    <m/>
  </r>
  <r>
    <x v="5"/>
    <x v="11"/>
    <m/>
    <x v="13"/>
    <m/>
    <m/>
    <m/>
    <m/>
    <m/>
    <m/>
    <m/>
    <m/>
    <m/>
    <m/>
    <m/>
    <m/>
    <m/>
    <m/>
    <m/>
    <m/>
  </r>
  <r>
    <x v="5"/>
    <x v="11"/>
    <m/>
    <x v="13"/>
    <m/>
    <m/>
    <m/>
    <m/>
    <m/>
    <m/>
    <m/>
    <m/>
    <m/>
    <m/>
    <m/>
    <m/>
    <m/>
    <m/>
    <m/>
    <m/>
  </r>
  <r>
    <x v="5"/>
    <x v="11"/>
    <m/>
    <x v="13"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12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B13:C26" firstHeaderRow="1" firstDataRow="1" firstDataCol="1"/>
  <pivotFields count="20">
    <pivotField showAll="0"/>
    <pivotField axis="axisRow" showAll="0">
      <items count="13">
        <item x="4"/>
        <item x="6"/>
        <item x="5"/>
        <item x="0"/>
        <item x="2"/>
        <item x="3"/>
        <item x="9"/>
        <item x="8"/>
        <item x="10"/>
        <item x="1"/>
        <item x="7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omme de Montant de la cotisation" fld="9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eau croisé dynamique1" cacheId="12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3:B10" firstHeaderRow="1" firstDataRow="1" firstDataCol="1"/>
  <pivotFields count="20"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3">
        <item x="4"/>
        <item x="6"/>
        <item x="5"/>
        <item x="0"/>
        <item x="2"/>
        <item x="3"/>
        <item x="9"/>
        <item x="8"/>
        <item x="10"/>
        <item x="1"/>
        <item x="7"/>
        <item x="11"/>
        <item t="default"/>
      </items>
    </pivotField>
    <pivotField showAll="0"/>
    <pivotField showAll="0">
      <items count="15">
        <item x="2"/>
        <item x="6"/>
        <item x="11"/>
        <item x="0"/>
        <item x="7"/>
        <item x="8"/>
        <item x="9"/>
        <item x="1"/>
        <item x="12"/>
        <item x="3"/>
        <item x="4"/>
        <item x="5"/>
        <item x="10"/>
        <item x="13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omme de Montant de la cotisation" fld="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dtbasebnf" displayName="dtbasebnf" ref="A4:T69" totalsRowShown="0" headerRowDxfId="49" dataDxfId="48">
  <tableColumns count="20">
    <tableColumn id="1" name="Année de saisie" dataDxfId="47"/>
    <tableColumn id="4" name="Région" dataDxfId="12"/>
    <tableColumn id="5" name="Département" dataDxfId="46"/>
    <tableColumn id="6" name="Mutuelle de santé" dataDxfId="45"/>
    <tableColumn id="2" name="Identifiant" dataDxfId="44"/>
    <tableColumn id="7" name="Sexe" dataDxfId="43"/>
    <tableColumn id="8" name="Date de naissance" dataDxfId="42"/>
    <tableColumn id="9" name="Mois de cotisation" dataDxfId="41"/>
    <tableColumn id="10" name="Année de cotisation" dataDxfId="40"/>
    <tableColumn id="11" name="Montant de la cotisation" dataDxfId="39"/>
    <tableColumn id="12" name="Transfert gouvernemental" dataDxfId="38"/>
    <tableColumn id="13" name="Statut " dataDxfId="37"/>
    <tableColumn id="14" name="Type d'affiliation au régime " dataDxfId="36"/>
    <tableColumn id="15" name="Niveau de prise en charge" dataDxfId="35"/>
    <tableColumn id="3" name="Identifiant2" dataDxfId="34"/>
    <tableColumn id="16" name="Lien avec l'assuré principal" dataDxfId="33"/>
    <tableColumn id="17" name="Sexe2" dataDxfId="32"/>
    <tableColumn id="18" name="Type d'affiliation au régime" dataDxfId="8"/>
    <tableColumn id="19" name="Date de naissance2" dataDxfId="31"/>
    <tableColumn id="20" name="Identifiant_agent de saisie" dataDxfId="13"/>
  </tableColumns>
  <tableStyleInfo name="styletableau1" showFirstColumn="0" showLastColumn="0" showRowStripes="1" showColumnStripes="0"/>
</table>
</file>

<file path=xl/tables/table2.xml><?xml version="1.0" encoding="utf-8"?>
<table xmlns="http://schemas.openxmlformats.org/spreadsheetml/2006/main" id="2" name="dtbasepres" displayName="dtbasepres" ref="A5:L65" totalsRowShown="0" headerRowDxfId="30" dataDxfId="29">
  <tableColumns count="12">
    <tableColumn id="1" name="Année" dataDxfId="7"/>
    <tableColumn id="2" name="Identifiant" dataDxfId="28"/>
    <tableColumn id="3" name="Type de prestation" dataDxfId="27"/>
    <tableColumn id="4" name="Type de structures de prestations" dataDxfId="26"/>
    <tableColumn id="5" name="Nom du prestataire" dataDxfId="25"/>
    <tableColumn id="6" name="Date de survenance" dataDxfId="24"/>
    <tableColumn id="8" name="Date de règlement " dataDxfId="23"/>
    <tableColumn id="12" name="Durée du séjour" dataDxfId="6"/>
    <tableColumn id="9" name="Cout global " dataDxfId="9"/>
    <tableColumn id="10" name="Cout payé par la mutuelle " dataDxfId="10"/>
    <tableColumn id="11" name="Cout à la charge du bénéficiaire" dataDxfId="5">
      <calculatedColumnFormula>dtbasepres[[#This Row],[Cout global ]]-dtbasepres[[#This Row],[Cout payé par la mutuelle ]]</calculatedColumnFormula>
    </tableColumn>
    <tableColumn id="13" name="Identifiant_agent de saisie" dataDxfId="11"/>
  </tableColumns>
  <tableStyleInfo name="styletableau1" showFirstColumn="1" showLastColumn="0" showRowStripes="1" showColumnStripes="0"/>
</table>
</file>

<file path=xl/tables/table3.xml><?xml version="1.0" encoding="utf-8"?>
<table xmlns="http://schemas.openxmlformats.org/spreadsheetml/2006/main" id="6" name="criteres" displayName="criteres" ref="F2:F3" totalsRowShown="0" headerRowDxfId="22" dataDxfId="21">
  <autoFilter ref="F2:F3">
    <filterColumn colId="0" hiddenButton="1"/>
  </autoFilter>
  <tableColumns count="1">
    <tableColumn id="3" name="Type de prestation" dataDxfId="20"/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id="5" name="Tableau5" displayName="Tableau5" ref="A1:A16" totalsRowShown="0" headerRowDxfId="19" dataDxfId="18">
  <autoFilter ref="A1:A16"/>
  <tableColumns count="1">
    <tableColumn id="1" name="LISTE DES MUTUELLES" dataDxfId="17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id="3" name="année" displayName="année" ref="A1:A6" totalsRowShown="0" tableBorderDxfId="16">
  <autoFilter ref="A1:A6"/>
  <tableColumns count="1">
    <tableColumn id="1" name="annee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4" name="anneecotisation" displayName="anneecotisation" ref="A8:A14" totalsRowShown="0" tableBorderDxfId="15">
  <autoFilter ref="A8:A14"/>
  <tableColumns count="1">
    <tableColumn id="1" name="annee cotisation" dataDxfId="14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rgb="FF11CFEF"/>
  </sheetPr>
  <dimension ref="A2:M61"/>
  <sheetViews>
    <sheetView showGridLines="0" showRowColHeaders="0" zoomScale="90" zoomScaleNormal="98" workbookViewId="0">
      <pane ySplit="7" topLeftCell="A8" activePane="bottomLeft" state="frozen"/>
      <selection pane="bottomLeft" sqref="A1:XFD1048576"/>
    </sheetView>
  </sheetViews>
  <sheetFormatPr baseColWidth="10" defaultRowHeight="15.5" x14ac:dyDescent="0.35"/>
  <cols>
    <col min="1" max="1" width="7.1796875" style="7" customWidth="1"/>
    <col min="2" max="2" width="30.54296875" style="6" customWidth="1"/>
    <col min="3" max="3" width="33.36328125" style="18" customWidth="1"/>
    <col min="4" max="4" width="4.54296875" style="6" customWidth="1"/>
    <col min="5" max="5" width="32.08984375" style="6" customWidth="1"/>
    <col min="6" max="6" width="31.26953125" style="19" customWidth="1"/>
    <col min="7" max="7" width="10.90625" style="6"/>
    <col min="8" max="8" width="10.90625" style="6" customWidth="1"/>
    <col min="9" max="11" width="10.90625" style="6"/>
    <col min="12" max="12" width="8.26953125" style="6" customWidth="1"/>
    <col min="13" max="16384" width="10.90625" style="6"/>
  </cols>
  <sheetData>
    <row r="2" spans="1:13" ht="14.5" customHeight="1" x14ac:dyDescent="0.35">
      <c r="B2" s="20"/>
      <c r="C2" s="21"/>
    </row>
    <row r="3" spans="1:13" ht="14.5" customHeight="1" x14ac:dyDescent="0.35">
      <c r="B3" s="20"/>
      <c r="C3" s="21"/>
    </row>
    <row r="4" spans="1:13" ht="14.5" customHeight="1" x14ac:dyDescent="0.35">
      <c r="B4" s="20"/>
      <c r="C4" s="21"/>
    </row>
    <row r="5" spans="1:13" ht="14.5" customHeight="1" x14ac:dyDescent="0.35">
      <c r="B5" s="20"/>
      <c r="C5" s="21"/>
    </row>
    <row r="6" spans="1:13" x14ac:dyDescent="0.35">
      <c r="B6" s="22"/>
      <c r="E6" s="22"/>
      <c r="F6" s="23"/>
    </row>
    <row r="7" spans="1:13" x14ac:dyDescent="0.35">
      <c r="B7" s="22"/>
      <c r="E7" s="22"/>
      <c r="F7" s="23"/>
    </row>
    <row r="8" spans="1:13" s="7" customFormat="1" ht="26" customHeight="1" x14ac:dyDescent="0.35">
      <c r="B8" s="25"/>
      <c r="C8" s="26"/>
      <c r="E8" s="25"/>
      <c r="F8" s="27"/>
    </row>
    <row r="9" spans="1:13" s="28" customFormat="1" ht="10" customHeight="1" x14ac:dyDescent="0.35">
      <c r="A9" s="7"/>
      <c r="B9" s="45"/>
      <c r="C9" s="47"/>
      <c r="D9" s="48"/>
      <c r="E9" s="45"/>
      <c r="F9" s="49"/>
      <c r="G9" s="48"/>
    </row>
    <row r="10" spans="1:13" ht="25" customHeight="1" x14ac:dyDescent="0.35">
      <c r="B10" s="46" t="s">
        <v>82</v>
      </c>
      <c r="C10" s="30"/>
      <c r="D10" s="50"/>
      <c r="E10" s="51" t="s">
        <v>112</v>
      </c>
      <c r="F10" s="30"/>
      <c r="G10" s="51"/>
    </row>
    <row r="11" spans="1:13" x14ac:dyDescent="0.35">
      <c r="B11" s="46"/>
      <c r="C11" s="53"/>
      <c r="D11" s="50"/>
      <c r="E11" s="51"/>
      <c r="F11" s="52"/>
      <c r="G11" s="51"/>
    </row>
    <row r="12" spans="1:13" s="34" customFormat="1" ht="20.5" customHeight="1" x14ac:dyDescent="0.35">
      <c r="D12" s="94" t="s">
        <v>60</v>
      </c>
      <c r="E12" s="94"/>
    </row>
    <row r="13" spans="1:13" s="37" customFormat="1" x14ac:dyDescent="0.35">
      <c r="A13" s="34"/>
      <c r="B13" s="35"/>
      <c r="C13" s="33"/>
      <c r="D13" s="35"/>
      <c r="E13" s="35"/>
      <c r="F13" s="36"/>
      <c r="G13" s="35"/>
      <c r="I13" s="34"/>
      <c r="J13" s="34"/>
      <c r="K13" s="34"/>
      <c r="L13" s="34"/>
      <c r="M13" s="34"/>
    </row>
    <row r="14" spans="1:13" ht="25" customHeight="1" x14ac:dyDescent="0.35">
      <c r="B14" s="29" t="s">
        <v>56</v>
      </c>
      <c r="C14" s="30"/>
      <c r="D14" s="31"/>
      <c r="E14" s="29" t="s">
        <v>58</v>
      </c>
      <c r="F14" s="30"/>
      <c r="G14" s="24"/>
      <c r="I14" s="34"/>
      <c r="J14" s="34"/>
      <c r="K14" s="34"/>
      <c r="L14" s="34"/>
      <c r="M14" s="34"/>
    </row>
    <row r="15" spans="1:13" ht="10" customHeight="1" x14ac:dyDescent="0.35">
      <c r="B15" s="29"/>
      <c r="C15" s="33"/>
      <c r="D15" s="31"/>
      <c r="E15" s="31"/>
      <c r="F15" s="31"/>
      <c r="G15" s="24"/>
      <c r="I15" s="34"/>
      <c r="J15" s="34"/>
      <c r="K15" s="34"/>
      <c r="L15" s="34"/>
      <c r="M15" s="34"/>
    </row>
    <row r="16" spans="1:13" ht="25" customHeight="1" x14ac:dyDescent="0.35">
      <c r="B16" s="29" t="s">
        <v>57</v>
      </c>
      <c r="C16" s="30"/>
      <c r="D16" s="31"/>
      <c r="E16" s="24"/>
      <c r="F16" s="32"/>
      <c r="G16" s="24"/>
      <c r="I16" s="34"/>
      <c r="J16" s="34"/>
      <c r="K16" s="34"/>
      <c r="L16" s="34"/>
      <c r="M16" s="34"/>
    </row>
    <row r="17" spans="2:13" x14ac:dyDescent="0.35">
      <c r="B17" s="24"/>
      <c r="C17" s="24"/>
      <c r="D17" s="31"/>
      <c r="E17" s="31"/>
      <c r="F17" s="32"/>
      <c r="G17" s="24"/>
      <c r="I17" s="34"/>
      <c r="J17" s="34"/>
      <c r="K17" s="34"/>
      <c r="L17" s="34"/>
      <c r="M17" s="34"/>
    </row>
    <row r="18" spans="2:13" ht="10" customHeight="1" x14ac:dyDescent="0.35">
      <c r="B18" s="7"/>
      <c r="C18" s="95" t="s">
        <v>94</v>
      </c>
      <c r="D18" s="31"/>
      <c r="E18" s="96" t="s">
        <v>96</v>
      </c>
      <c r="F18" s="23"/>
    </row>
    <row r="19" spans="2:13" ht="10" customHeight="1" x14ac:dyDescent="0.35">
      <c r="B19" s="7"/>
      <c r="C19" s="95"/>
      <c r="D19" s="31"/>
      <c r="E19" s="96"/>
      <c r="F19" s="23"/>
    </row>
    <row r="20" spans="2:13" x14ac:dyDescent="0.35">
      <c r="B20" s="29"/>
      <c r="C20" s="29"/>
      <c r="D20" s="24"/>
      <c r="E20" s="38"/>
      <c r="F20" s="39"/>
      <c r="G20" s="24"/>
    </row>
    <row r="21" spans="2:13" ht="25" customHeight="1" x14ac:dyDescent="0.35">
      <c r="B21" s="29" t="s">
        <v>100</v>
      </c>
      <c r="C21" s="30"/>
      <c r="D21" s="24"/>
      <c r="E21" s="38" t="s">
        <v>100</v>
      </c>
      <c r="F21" s="30"/>
      <c r="G21" s="24"/>
    </row>
    <row r="22" spans="2:13" ht="10" customHeight="1" x14ac:dyDescent="0.35">
      <c r="B22" s="29"/>
      <c r="C22" s="33"/>
      <c r="D22" s="24"/>
      <c r="E22" s="38"/>
      <c r="F22" s="39"/>
      <c r="G22" s="24"/>
    </row>
    <row r="23" spans="2:13" ht="25" customHeight="1" x14ac:dyDescent="0.35">
      <c r="B23" s="38" t="s">
        <v>48</v>
      </c>
      <c r="C23" s="30"/>
      <c r="D23" s="31"/>
      <c r="E23" s="38" t="s">
        <v>75</v>
      </c>
      <c r="F23" s="30"/>
      <c r="G23" s="24"/>
    </row>
    <row r="24" spans="2:13" ht="10" customHeight="1" x14ac:dyDescent="0.35">
      <c r="B24" s="38"/>
      <c r="C24" s="33"/>
      <c r="D24" s="31"/>
      <c r="E24" s="38"/>
      <c r="F24" s="32"/>
      <c r="G24" s="24"/>
    </row>
    <row r="25" spans="2:13" ht="25" customHeight="1" x14ac:dyDescent="0.35">
      <c r="B25" s="38" t="s">
        <v>49</v>
      </c>
      <c r="C25" s="40"/>
      <c r="D25" s="24"/>
      <c r="E25" s="24" t="s">
        <v>48</v>
      </c>
      <c r="F25" s="30"/>
      <c r="G25" s="24"/>
    </row>
    <row r="26" spans="2:13" ht="10" customHeight="1" x14ac:dyDescent="0.35">
      <c r="B26" s="38"/>
      <c r="C26" s="33"/>
      <c r="D26" s="31"/>
      <c r="E26" s="38"/>
      <c r="F26" s="38"/>
      <c r="G26" s="24"/>
    </row>
    <row r="27" spans="2:13" ht="25" customHeight="1" x14ac:dyDescent="0.35">
      <c r="B27" s="38" t="s">
        <v>50</v>
      </c>
      <c r="C27" s="30"/>
      <c r="D27" s="24"/>
      <c r="E27" s="24" t="s">
        <v>54</v>
      </c>
      <c r="F27" s="30"/>
      <c r="G27" s="24"/>
    </row>
    <row r="28" spans="2:13" ht="10" customHeight="1" x14ac:dyDescent="0.35">
      <c r="B28" s="38"/>
      <c r="C28" s="33"/>
      <c r="D28" s="31"/>
      <c r="E28" s="38"/>
      <c r="F28" s="32"/>
      <c r="G28" s="24"/>
    </row>
    <row r="29" spans="2:13" ht="25" customHeight="1" x14ac:dyDescent="0.35">
      <c r="B29" s="38" t="s">
        <v>51</v>
      </c>
      <c r="C29" s="30"/>
      <c r="D29" s="24"/>
      <c r="E29" s="24" t="s">
        <v>49</v>
      </c>
      <c r="F29" s="40"/>
      <c r="G29" s="24"/>
    </row>
    <row r="30" spans="2:13" ht="10" customHeight="1" x14ac:dyDescent="0.35">
      <c r="B30" s="38"/>
      <c r="C30" s="33"/>
      <c r="D30" s="31"/>
      <c r="E30" s="31"/>
      <c r="F30" s="31"/>
      <c r="G30" s="24"/>
    </row>
    <row r="31" spans="2:13" ht="25" customHeight="1" x14ac:dyDescent="0.35">
      <c r="B31" s="38" t="s">
        <v>52</v>
      </c>
      <c r="C31" s="41"/>
      <c r="D31" s="42"/>
      <c r="E31" s="42"/>
      <c r="F31" s="42"/>
      <c r="G31" s="24"/>
    </row>
    <row r="32" spans="2:13" ht="10" customHeight="1" x14ac:dyDescent="0.35">
      <c r="B32" s="38"/>
      <c r="C32" s="43"/>
      <c r="D32" s="42"/>
      <c r="E32" s="24"/>
      <c r="F32" s="36"/>
      <c r="G32" s="24"/>
    </row>
    <row r="33" spans="2:9" ht="25" customHeight="1" x14ac:dyDescent="0.35">
      <c r="B33" s="38" t="s">
        <v>59</v>
      </c>
      <c r="C33" s="41"/>
      <c r="D33" s="44"/>
      <c r="E33" s="24"/>
      <c r="F33" s="36"/>
      <c r="G33" s="24"/>
    </row>
    <row r="34" spans="2:9" ht="10" customHeight="1" x14ac:dyDescent="0.35">
      <c r="B34" s="38"/>
      <c r="C34" s="43"/>
      <c r="D34" s="44"/>
      <c r="E34" s="24"/>
      <c r="F34" s="36"/>
      <c r="G34" s="24"/>
    </row>
    <row r="35" spans="2:9" ht="25" customHeight="1" x14ac:dyDescent="0.35">
      <c r="B35" s="38" t="s">
        <v>53</v>
      </c>
      <c r="C35" s="30"/>
      <c r="D35" s="31"/>
      <c r="E35" s="24"/>
      <c r="F35" s="36"/>
      <c r="G35" s="24"/>
    </row>
    <row r="36" spans="2:9" ht="10" customHeight="1" x14ac:dyDescent="0.35">
      <c r="B36" s="38"/>
      <c r="C36" s="38"/>
      <c r="D36" s="31"/>
      <c r="E36" s="24"/>
      <c r="F36" s="36"/>
      <c r="G36" s="24"/>
    </row>
    <row r="37" spans="2:9" ht="25" customHeight="1" x14ac:dyDescent="0.35">
      <c r="B37" s="38" t="s">
        <v>54</v>
      </c>
      <c r="C37" s="30"/>
      <c r="D37" s="31"/>
      <c r="E37" s="24"/>
      <c r="F37" s="36"/>
      <c r="G37" s="24"/>
    </row>
    <row r="38" spans="2:9" ht="10" customHeight="1" x14ac:dyDescent="0.35">
      <c r="B38" s="38"/>
      <c r="C38" s="24"/>
      <c r="D38" s="31"/>
      <c r="E38" s="24"/>
      <c r="F38" s="36"/>
      <c r="G38" s="24"/>
    </row>
    <row r="39" spans="2:9" ht="25" customHeight="1" x14ac:dyDescent="0.35">
      <c r="B39" s="38" t="s">
        <v>55</v>
      </c>
      <c r="C39" s="30"/>
      <c r="D39" s="31"/>
      <c r="E39" s="24"/>
      <c r="F39" s="36"/>
      <c r="G39" s="24"/>
    </row>
    <row r="40" spans="2:9" x14ac:dyDescent="0.35">
      <c r="B40" s="29"/>
      <c r="C40" s="29"/>
      <c r="D40" s="31"/>
      <c r="E40" s="24"/>
      <c r="F40" s="36"/>
      <c r="G40" s="24"/>
    </row>
    <row r="41" spans="2:9" x14ac:dyDescent="0.35">
      <c r="B41" s="29"/>
      <c r="C41" s="29"/>
      <c r="D41" s="31"/>
      <c r="E41" s="24"/>
      <c r="F41" s="36"/>
      <c r="G41" s="24"/>
    </row>
    <row r="42" spans="2:9" x14ac:dyDescent="0.35">
      <c r="B42" s="7"/>
      <c r="C42" s="7"/>
      <c r="D42" s="7"/>
      <c r="E42" s="7"/>
      <c r="F42" s="7"/>
      <c r="G42" s="7"/>
      <c r="H42" s="7"/>
      <c r="I42" s="7"/>
    </row>
    <row r="43" spans="2:9" x14ac:dyDescent="0.35">
      <c r="B43" s="7"/>
      <c r="C43" s="7"/>
      <c r="D43" s="7"/>
      <c r="E43" s="7"/>
      <c r="F43" s="7"/>
      <c r="G43" s="7"/>
      <c r="H43" s="7"/>
      <c r="I43" s="7"/>
    </row>
    <row r="61" spans="8:8" x14ac:dyDescent="0.35">
      <c r="H61" s="6">
        <v>1</v>
      </c>
    </row>
  </sheetData>
  <mergeCells count="3">
    <mergeCell ref="D12:E12"/>
    <mergeCell ref="C18:C19"/>
    <mergeCell ref="E18:E19"/>
  </mergeCells>
  <dataValidations xWindow="833" yWindow="748" count="17">
    <dataValidation type="list" allowBlank="1" showInputMessage="1" showErrorMessage="1" sqref="C16">
      <formula1>INDIRECT($C$14)</formula1>
    </dataValidation>
    <dataValidation type="list" allowBlank="1" showInputMessage="1" showErrorMessage="1" sqref="C10">
      <formula1>"2018,2019,2020,2021,2022"</formula1>
    </dataValidation>
    <dataValidation type="list" allowBlank="1" showInputMessage="1" showErrorMessage="1" sqref="F14">
      <formula1>Mutuelles</formula1>
    </dataValidation>
    <dataValidation type="date" operator="greaterThan" allowBlank="1" showInputMessage="1" showErrorMessage="1" error="Format non valide_x000a_" prompt="Format jj/mm/aaaa" sqref="F29">
      <formula1>347</formula1>
    </dataValidation>
    <dataValidation type="list" allowBlank="1" showErrorMessage="1" promptTitle="Code de saisie " sqref="C37">
      <formula1>"1. Classiques, 2. BSF, 3. CEC  ,4. CMU Eleves ,5. CMU Daara  ,6. Autre indigent ,7. Femme enceinte, 8. Enfant de moins 5 ans ,9. Adhésion de groupe ,99.Autres"</formula1>
    </dataValidation>
    <dataValidation type="list" errorStyle="information" allowBlank="1" errorTitle=" " promptTitle="Code de saisie" sqref="C35">
      <formula1>"1.Actif ,2.Retraité,9.Autres"</formula1>
    </dataValidation>
    <dataValidation type="list" allowBlank="1" showErrorMessage="1" promptTitle="Code de saisie" sqref="C39">
      <formula1>"1. 80% pour les soins et 50% pour les médicaments,2. 100% de prise en charge, 9.Autres"</formula1>
    </dataValidation>
    <dataValidation type="date" operator="greaterThan" allowBlank="1" showInputMessage="1" showErrorMessage="1" error="Format non valide_x000a_" prompt="Format jj/mm/aaaa requis" sqref="C25">
      <formula1>347</formula1>
    </dataValidation>
    <dataValidation type="list" allowBlank="1" showErrorMessage="1" promptTitle="Code de saisie" sqref="F23">
      <formula1>"1. Parent ,2. Fils/fille , 3. Cousin/cousine, 4. Grand parent  ,5. Sœur/frère, 7. Tante/oncle , 8. Employé ,99.Autres"</formula1>
    </dataValidation>
    <dataValidation type="whole" operator="greaterThan" allowBlank="1" showInputMessage="1" showErrorMessage="1" errorTitle="erreur " error="Montant positif uniquement " sqref="C34">
      <formula1>0</formula1>
    </dataValidation>
    <dataValidation type="whole" operator="greaterThan" allowBlank="1" showInputMessage="1" showErrorMessage="1" errorTitle="erreur" error="Montant positif uniquement " sqref="C32">
      <formula1>0</formula1>
    </dataValidation>
    <dataValidation type="list" allowBlank="1" showInputMessage="1" showErrorMessage="1" sqref="C29">
      <formula1>"2017,2018,2019,2020,2021,2022"</formula1>
    </dataValidation>
    <dataValidation type="list" allowBlank="1" showInputMessage="1" showErrorMessage="1" sqref="C27">
      <formula1>"Janvier,Février, Mars,Avril,Mai,Juin,Juillet,Aout,Septembre,Octobre,Novembre,Décembre"</formula1>
    </dataValidation>
    <dataValidation type="list" allowBlank="1" showInputMessage="1" showErrorMessage="1" sqref="F25 C23">
      <formula1>"Homme,Femme"</formula1>
    </dataValidation>
    <dataValidation type="list" allowBlank="1" showErrorMessage="1" promptTitle="Code de saisie " sqref="F27">
      <formula1>"1. Classiques ,2. BSF,  3. CEC , 4. CMU Eleves ,5. CMU Daara  ,6. Autre indigent ,7. Femme enceinte , 8. Enfants de moins de 5 ans , 9. Adhésion de groupe ,99.Autres"</formula1>
    </dataValidation>
    <dataValidation type="whole" operator="greaterThan" allowBlank="1" showInputMessage="1" showErrorMessage="1" errorTitle="erreur" error="Montant positif requis_x000a_" sqref="C31">
      <formula1>0</formula1>
    </dataValidation>
    <dataValidation type="whole" operator="greaterThan" allowBlank="1" showInputMessage="1" showErrorMessage="1" errorTitle="erreur " error="Montant positif requis" sqref="C33">
      <formula1>0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833" yWindow="748" count="1">
        <x14:dataValidation type="list" allowBlank="1" showInputMessage="1" showErrorMessage="1">
          <x14:formula1>
            <xm:f>'sheet '!$C$2:$P$2</xm:f>
          </x14:formula1>
          <xm:sqref>C14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4" tint="-0.499984740745262"/>
  </sheetPr>
  <dimension ref="A2:V89"/>
  <sheetViews>
    <sheetView showGridLines="0" showRowColHeaders="0" zoomScale="93" zoomScaleNormal="93" workbookViewId="0">
      <pane ySplit="7" topLeftCell="A8" activePane="bottomLeft" state="frozen"/>
      <selection pane="bottomLeft" sqref="A1:XFD1048576"/>
    </sheetView>
  </sheetViews>
  <sheetFormatPr baseColWidth="10" defaultRowHeight="15.5" x14ac:dyDescent="0.35"/>
  <cols>
    <col min="1" max="1" width="7.26953125" style="7" customWidth="1"/>
    <col min="2" max="2" width="40.7265625" style="6" bestFit="1" customWidth="1"/>
    <col min="3" max="3" width="26.7265625" style="79" customWidth="1"/>
    <col min="4" max="4" width="2.7265625" style="6" customWidth="1"/>
    <col min="5" max="5" width="40.90625" style="6" bestFit="1" customWidth="1"/>
    <col min="6" max="6" width="28.26953125" style="68" customWidth="1"/>
    <col min="7" max="16384" width="10.90625" style="6"/>
  </cols>
  <sheetData>
    <row r="2" spans="1:7" ht="14.5" customHeight="1" x14ac:dyDescent="0.35">
      <c r="B2" s="20"/>
      <c r="C2" s="78"/>
    </row>
    <row r="3" spans="1:7" ht="14.5" customHeight="1" x14ac:dyDescent="0.35">
      <c r="B3" s="20"/>
      <c r="C3" s="78"/>
    </row>
    <row r="4" spans="1:7" ht="14.5" customHeight="1" x14ac:dyDescent="0.35">
      <c r="B4" s="20"/>
      <c r="C4" s="78"/>
    </row>
    <row r="5" spans="1:7" ht="14.5" customHeight="1" x14ac:dyDescent="0.35">
      <c r="B5" s="20"/>
      <c r="C5" s="78"/>
    </row>
    <row r="6" spans="1:7" x14ac:dyDescent="0.35">
      <c r="B6" s="22"/>
      <c r="E6" s="22"/>
      <c r="F6" s="80"/>
    </row>
    <row r="7" spans="1:7" x14ac:dyDescent="0.35">
      <c r="B7" s="22"/>
      <c r="E7" s="22"/>
      <c r="F7" s="80"/>
    </row>
    <row r="8" spans="1:7" x14ac:dyDescent="0.35">
      <c r="B8" s="22"/>
      <c r="E8" s="22"/>
      <c r="F8" s="80"/>
    </row>
    <row r="9" spans="1:7" s="7" customFormat="1" x14ac:dyDescent="0.35">
      <c r="B9" s="25"/>
      <c r="C9" s="81"/>
      <c r="E9" s="25"/>
      <c r="F9" s="82"/>
    </row>
    <row r="10" spans="1:7" s="28" customFormat="1" ht="16" thickBot="1" x14ac:dyDescent="0.4">
      <c r="A10" s="7"/>
      <c r="B10" s="38"/>
      <c r="C10" s="38"/>
      <c r="D10" s="38"/>
      <c r="E10" s="38"/>
      <c r="F10" s="38"/>
      <c r="G10" s="38"/>
    </row>
    <row r="11" spans="1:7" ht="25" customHeight="1" thickTop="1" thickBot="1" x14ac:dyDescent="0.4">
      <c r="B11" s="38" t="s">
        <v>82</v>
      </c>
      <c r="C11" s="83"/>
      <c r="D11" s="38"/>
      <c r="E11" s="38" t="s">
        <v>112</v>
      </c>
      <c r="F11" s="83"/>
      <c r="G11" s="38"/>
    </row>
    <row r="12" spans="1:7" ht="16" thickTop="1" x14ac:dyDescent="0.35">
      <c r="B12" s="38"/>
      <c r="C12" s="38"/>
      <c r="D12" s="38"/>
      <c r="E12" s="38"/>
      <c r="F12" s="38"/>
      <c r="G12" s="38"/>
    </row>
    <row r="13" spans="1:7" ht="10" customHeight="1" x14ac:dyDescent="0.35">
      <c r="B13" s="84"/>
      <c r="C13" s="85"/>
      <c r="D13" s="20"/>
      <c r="E13" s="84"/>
      <c r="F13" s="85"/>
    </row>
    <row r="14" spans="1:7" ht="10" customHeight="1" x14ac:dyDescent="0.35">
      <c r="B14" s="84"/>
      <c r="C14" s="85"/>
      <c r="D14" s="20"/>
      <c r="E14" s="84"/>
      <c r="F14" s="85"/>
    </row>
    <row r="15" spans="1:7" ht="16" thickBot="1" x14ac:dyDescent="0.4">
      <c r="B15" s="38"/>
      <c r="C15" s="38"/>
      <c r="D15" s="38"/>
      <c r="E15" s="38"/>
      <c r="F15" s="86"/>
      <c r="G15" s="24"/>
    </row>
    <row r="16" spans="1:7" ht="25" customHeight="1" thickTop="1" thickBot="1" x14ac:dyDescent="0.4">
      <c r="B16" s="38" t="s">
        <v>100</v>
      </c>
      <c r="C16" s="83"/>
      <c r="D16" s="31"/>
      <c r="E16" s="24" t="s">
        <v>87</v>
      </c>
      <c r="F16" s="87"/>
      <c r="G16" s="24"/>
    </row>
    <row r="17" spans="2:7" ht="10" customHeight="1" thickTop="1" thickBot="1" x14ac:dyDescent="0.4">
      <c r="B17" s="38"/>
      <c r="C17" s="88"/>
      <c r="D17" s="31"/>
      <c r="E17" s="38"/>
      <c r="F17" s="38"/>
      <c r="G17" s="24"/>
    </row>
    <row r="18" spans="2:7" ht="25" customHeight="1" thickTop="1" thickBot="1" x14ac:dyDescent="0.4">
      <c r="B18" s="38" t="s">
        <v>84</v>
      </c>
      <c r="C18" s="83"/>
      <c r="D18" s="24"/>
      <c r="E18" s="24" t="s">
        <v>88</v>
      </c>
      <c r="F18" s="87"/>
      <c r="G18" s="24"/>
    </row>
    <row r="19" spans="2:7" ht="10" customHeight="1" thickTop="1" thickBot="1" x14ac:dyDescent="0.4">
      <c r="B19" s="38"/>
      <c r="C19" s="38"/>
      <c r="D19" s="31"/>
      <c r="E19" s="38"/>
      <c r="F19" s="89"/>
      <c r="G19" s="24"/>
    </row>
    <row r="20" spans="2:7" ht="25" customHeight="1" thickTop="1" thickBot="1" x14ac:dyDescent="0.4">
      <c r="B20" s="90" t="s">
        <v>85</v>
      </c>
      <c r="C20" s="83"/>
      <c r="D20" s="24"/>
      <c r="E20" s="91" t="s">
        <v>102</v>
      </c>
      <c r="F20" s="92" t="str">
        <f>IF(cell_3="8. hospitalisation",cell_7-cell_5,"")</f>
        <v/>
      </c>
      <c r="G20" s="24"/>
    </row>
    <row r="21" spans="2:7" ht="10" customHeight="1" thickTop="1" thickBot="1" x14ac:dyDescent="0.4">
      <c r="B21" s="38"/>
      <c r="C21" s="38"/>
      <c r="D21" s="31"/>
      <c r="E21" s="24"/>
      <c r="F21" s="35"/>
      <c r="G21" s="24"/>
    </row>
    <row r="22" spans="2:7" ht="25" customHeight="1" thickTop="1" thickBot="1" x14ac:dyDescent="0.4">
      <c r="B22" s="24" t="s">
        <v>86</v>
      </c>
      <c r="C22" s="83"/>
      <c r="D22" s="42"/>
      <c r="E22" s="24" t="s">
        <v>89</v>
      </c>
      <c r="F22" s="93"/>
      <c r="G22" s="24"/>
    </row>
    <row r="23" spans="2:7" ht="10" customHeight="1" thickTop="1" thickBot="1" x14ac:dyDescent="0.4">
      <c r="B23" s="38"/>
      <c r="C23" s="38"/>
      <c r="D23" s="42"/>
      <c r="E23" s="24"/>
      <c r="F23" s="35"/>
      <c r="G23" s="24"/>
    </row>
    <row r="24" spans="2:7" ht="25" customHeight="1" thickTop="1" thickBot="1" x14ac:dyDescent="0.4">
      <c r="B24" s="38"/>
      <c r="C24" s="38"/>
      <c r="D24" s="38"/>
      <c r="E24" s="24" t="s">
        <v>90</v>
      </c>
      <c r="F24" s="93"/>
      <c r="G24" s="24"/>
    </row>
    <row r="25" spans="2:7" ht="10" customHeight="1" thickTop="1" thickBot="1" x14ac:dyDescent="0.4">
      <c r="B25" s="38"/>
      <c r="C25" s="38"/>
      <c r="D25" s="38"/>
      <c r="E25" s="38"/>
      <c r="F25" s="38"/>
      <c r="G25" s="24"/>
    </row>
    <row r="26" spans="2:7" ht="25" customHeight="1" thickTop="1" thickBot="1" x14ac:dyDescent="0.4">
      <c r="B26" s="38"/>
      <c r="C26" s="38"/>
      <c r="D26" s="38"/>
      <c r="E26" s="24" t="s">
        <v>91</v>
      </c>
      <c r="F26" s="93">
        <f>cell_9-cell_10</f>
        <v>0</v>
      </c>
      <c r="G26" s="24"/>
    </row>
    <row r="27" spans="2:7" ht="16" thickTop="1" x14ac:dyDescent="0.35">
      <c r="B27" s="38"/>
      <c r="C27" s="86"/>
      <c r="D27" s="86"/>
      <c r="E27" s="86"/>
      <c r="F27" s="86"/>
      <c r="G27" s="24"/>
    </row>
    <row r="28" spans="2:7" x14ac:dyDescent="0.35">
      <c r="B28" s="38"/>
      <c r="C28" s="86"/>
      <c r="D28" s="31"/>
      <c r="E28" s="31"/>
      <c r="F28" s="31"/>
      <c r="G28" s="31"/>
    </row>
    <row r="29" spans="2:7" x14ac:dyDescent="0.35">
      <c r="B29" s="38"/>
      <c r="C29" s="86"/>
      <c r="D29" s="31"/>
      <c r="E29" s="31"/>
      <c r="F29" s="31"/>
      <c r="G29" s="31"/>
    </row>
    <row r="30" spans="2:7" x14ac:dyDescent="0.35">
      <c r="B30" s="38"/>
      <c r="C30" s="86"/>
      <c r="D30" s="31"/>
      <c r="E30" s="24"/>
      <c r="F30" s="35"/>
      <c r="G30" s="24"/>
    </row>
    <row r="31" spans="2:7" x14ac:dyDescent="0.35">
      <c r="B31" s="38"/>
      <c r="C31" s="86"/>
      <c r="D31" s="31"/>
      <c r="E31" s="24"/>
      <c r="F31" s="35"/>
      <c r="G31" s="24"/>
    </row>
    <row r="89" spans="22:22" x14ac:dyDescent="0.35">
      <c r="V89" s="6">
        <v>0</v>
      </c>
    </row>
  </sheetData>
  <dataValidations xWindow="729" yWindow="503" count="10">
    <dataValidation type="list" allowBlank="1" showInputMessage="1" showErrorMessage="1" sqref="C11">
      <formula1>"2018,2019,2020,2021,2022"</formula1>
    </dataValidation>
    <dataValidation type="list" allowBlank="1" showInputMessage="1" showErrorMessage="1" promptTitle="Code de saisie" sqref="C18">
      <formula1>"1. consultation,  2. analyse,  3. radiologie, 4. médicament(pharmacie privée),5. médicaments (formation sanitaire) , 6. acte médical,8. hospitalisation,9.Autres"</formula1>
    </dataValidation>
    <dataValidation type="list" allowBlank="1" showErrorMessage="1" promptTitle="Code de saisie" prompt="_x000a_" sqref="C20">
      <formula1>"1. Poste de santé , 2. Centre de santé  ,3. EPS , 4. Pharmacies , 5. Structures privée (A preciser),  6. Structure privée confessionnelle ,9.Autres"</formula1>
    </dataValidation>
    <dataValidation allowBlank="1" showInputMessage="1" showErrorMessage="1" prompt="par exemple, s’il s’agit d’une consultation la date à laquelle elle a été faite" sqref="F16"/>
    <dataValidation allowBlank="1" showInputMessage="1" showErrorMessage="1" prompt="la date à laquelle la mutuelle a payé la facture" sqref="F18"/>
    <dataValidation allowBlank="1" showInputMessage="1" showErrorMessage="1" prompt="Montant total de la prestation facturé par le prestataire" sqref="F22"/>
    <dataValidation allowBlank="1" showInputMessage="1" showErrorMessage="1" prompt="Coût de la prestation payé par la Mutuelle (le montant payé par la Mutuelle de santé) " sqref="F24"/>
    <dataValidation type="list" allowBlank="1" showInputMessage="1" showErrorMessage="1" prompt="Choisir parmi les identifiants renseignés dans le formulaire des bénéficiaires" sqref="C16">
      <formula1>ident</formula1>
    </dataValidation>
    <dataValidation allowBlank="1" showInputMessage="1" showErrorMessage="1" promptTitle="Code de lecture " prompt="Coût de la prestation à la charge du bénéficiaire (Reste à charge ou ticket modérateur payé par le bénéficiaire)" sqref="F26"/>
    <dataValidation allowBlank="1" showInputMessage="1" showErrorMessage="1" promptTitle="Durée de l'hospitalisation" prompt="Uniquement s'il s'agit d'une hospitalisation sinon , il sera inséré un vide" sqref="F20"/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7" tint="0.39997558519241921"/>
  </sheetPr>
  <dimension ref="A1:U69"/>
  <sheetViews>
    <sheetView showGridLines="0" showRowColHeaders="0" zoomScale="96" zoomScaleNormal="96" workbookViewId="0">
      <pane xSplit="1" ySplit="4" topLeftCell="B5" activePane="bottomRight" state="frozen"/>
      <selection pane="topRight" activeCell="B1" sqref="B1"/>
      <selection pane="bottomLeft" activeCell="A5" sqref="A5"/>
      <selection pane="bottomRight" sqref="A1:XFD1048576"/>
    </sheetView>
  </sheetViews>
  <sheetFormatPr baseColWidth="10" defaultRowHeight="14.5" x14ac:dyDescent="0.35"/>
  <cols>
    <col min="1" max="1" width="18.7265625" style="57" customWidth="1"/>
    <col min="2" max="2" width="26.1796875" style="57" customWidth="1"/>
    <col min="3" max="3" width="23.90625" style="57" customWidth="1"/>
    <col min="4" max="4" width="23.6328125" style="57" customWidth="1"/>
    <col min="5" max="5" width="18.1796875" style="57" customWidth="1"/>
    <col min="6" max="6" width="18.54296875" style="57" customWidth="1"/>
    <col min="7" max="7" width="17.90625" style="57" customWidth="1"/>
    <col min="8" max="8" width="24.7265625" style="57" bestFit="1" customWidth="1"/>
    <col min="9" max="9" width="18.81640625" style="57" customWidth="1"/>
    <col min="10" max="10" width="20.1796875" style="57" customWidth="1"/>
    <col min="11" max="11" width="24.36328125" style="57" customWidth="1"/>
    <col min="12" max="12" width="25.54296875" style="57" customWidth="1"/>
    <col min="13" max="13" width="27.54296875" style="57" customWidth="1"/>
    <col min="14" max="14" width="43.54296875" style="57" bestFit="1" customWidth="1"/>
    <col min="15" max="15" width="25.26953125" style="57" customWidth="1"/>
    <col min="16" max="16" width="25.90625" style="57" customWidth="1"/>
    <col min="17" max="17" width="21.36328125" style="57" bestFit="1" customWidth="1"/>
    <col min="18" max="18" width="31.453125" style="57" customWidth="1"/>
    <col min="19" max="19" width="22.90625" style="57" bestFit="1" customWidth="1"/>
    <col min="20" max="20" width="22.90625" style="57" customWidth="1"/>
    <col min="21" max="21" width="10.90625" style="65"/>
    <col min="22" max="16384" width="10.90625" style="57"/>
  </cols>
  <sheetData>
    <row r="1" spans="1:21" s="59" customFormat="1" ht="83.5" customHeight="1" x14ac:dyDescent="1.35">
      <c r="P1" s="63"/>
      <c r="U1" s="65"/>
    </row>
    <row r="2" spans="1:21" ht="14.5" customHeight="1" x14ac:dyDescent="0.45">
      <c r="A2" s="61"/>
      <c r="B2" s="61"/>
      <c r="C2" s="60" t="s">
        <v>95</v>
      </c>
      <c r="D2" s="60"/>
      <c r="E2" s="62"/>
      <c r="F2" s="62"/>
      <c r="G2" s="54"/>
      <c r="H2" s="54"/>
      <c r="I2" s="55" t="s">
        <v>99</v>
      </c>
      <c r="J2" s="55"/>
      <c r="K2" s="55"/>
      <c r="L2" s="55"/>
      <c r="M2" s="55"/>
      <c r="N2" s="55"/>
      <c r="O2" s="56"/>
      <c r="P2" s="56" t="s">
        <v>98</v>
      </c>
      <c r="Q2" s="56"/>
      <c r="R2" s="56"/>
      <c r="S2" s="56"/>
      <c r="T2" s="56"/>
    </row>
    <row r="3" spans="1:21" ht="14.5" customHeight="1" x14ac:dyDescent="0.45">
      <c r="A3" s="61"/>
      <c r="B3" s="61"/>
      <c r="C3" s="61"/>
      <c r="D3" s="61"/>
      <c r="E3" s="54"/>
      <c r="F3" s="54"/>
      <c r="G3" s="55"/>
      <c r="H3" s="55"/>
      <c r="I3" s="55"/>
      <c r="J3" s="55"/>
      <c r="K3" s="55"/>
      <c r="L3" s="55"/>
      <c r="M3" s="55"/>
      <c r="N3" s="55"/>
      <c r="O3" s="56"/>
      <c r="P3" s="56"/>
      <c r="Q3" s="56"/>
      <c r="R3" s="56"/>
      <c r="S3" s="56"/>
      <c r="T3" s="56"/>
    </row>
    <row r="4" spans="1:21" x14ac:dyDescent="0.35">
      <c r="A4" s="57" t="s">
        <v>82</v>
      </c>
      <c r="B4" s="57" t="s">
        <v>80</v>
      </c>
      <c r="C4" s="57" t="s">
        <v>57</v>
      </c>
      <c r="D4" s="57" t="s">
        <v>81</v>
      </c>
      <c r="E4" s="57" t="s">
        <v>100</v>
      </c>
      <c r="F4" s="57" t="s">
        <v>48</v>
      </c>
      <c r="G4" s="57" t="s">
        <v>49</v>
      </c>
      <c r="H4" s="57" t="s">
        <v>50</v>
      </c>
      <c r="I4" s="57" t="s">
        <v>51</v>
      </c>
      <c r="J4" s="57" t="s">
        <v>52</v>
      </c>
      <c r="K4" s="57" t="s">
        <v>59</v>
      </c>
      <c r="L4" s="57" t="s">
        <v>53</v>
      </c>
      <c r="M4" s="57" t="s">
        <v>54</v>
      </c>
      <c r="N4" s="57" t="s">
        <v>79</v>
      </c>
      <c r="O4" s="57" t="s">
        <v>101</v>
      </c>
      <c r="P4" s="57" t="s">
        <v>75</v>
      </c>
      <c r="Q4" s="57" t="s">
        <v>97</v>
      </c>
      <c r="R4" s="57" t="s">
        <v>92</v>
      </c>
      <c r="S4" s="57" t="s">
        <v>93</v>
      </c>
      <c r="T4" s="57" t="s">
        <v>112</v>
      </c>
      <c r="U4" s="64">
        <v>1</v>
      </c>
    </row>
    <row r="5" spans="1:21" x14ac:dyDescent="0.35">
      <c r="A5" s="57">
        <v>2018</v>
      </c>
      <c r="B5" s="57" t="s">
        <v>5</v>
      </c>
      <c r="C5" s="57" t="s">
        <v>27</v>
      </c>
      <c r="D5" s="57" t="s">
        <v>67</v>
      </c>
      <c r="E5" s="57" t="s">
        <v>120</v>
      </c>
      <c r="F5" s="57" t="s">
        <v>177</v>
      </c>
      <c r="G5" s="58">
        <v>27995</v>
      </c>
      <c r="H5" s="57" t="s">
        <v>179</v>
      </c>
      <c r="I5" s="57">
        <v>2017</v>
      </c>
      <c r="J5" s="57">
        <v>145000</v>
      </c>
      <c r="K5" s="57">
        <v>25000</v>
      </c>
      <c r="L5" s="57" t="s">
        <v>190</v>
      </c>
      <c r="M5" s="57" t="s">
        <v>195</v>
      </c>
      <c r="N5" s="57" t="s">
        <v>209</v>
      </c>
      <c r="O5" s="57" t="s">
        <v>226</v>
      </c>
      <c r="P5" s="57" t="s">
        <v>213</v>
      </c>
      <c r="Q5" s="57" t="s">
        <v>178</v>
      </c>
      <c r="R5" s="57" t="s">
        <v>195</v>
      </c>
      <c r="S5" s="58">
        <v>41099</v>
      </c>
      <c r="T5" s="57" t="s">
        <v>113</v>
      </c>
      <c r="U5" s="64">
        <v>1</v>
      </c>
    </row>
    <row r="6" spans="1:21" x14ac:dyDescent="0.35">
      <c r="A6" s="57">
        <v>2019</v>
      </c>
      <c r="B6" s="57" t="s">
        <v>10</v>
      </c>
      <c r="C6" s="57" t="s">
        <v>45</v>
      </c>
      <c r="D6" s="57" t="s">
        <v>71</v>
      </c>
      <c r="E6" s="57" t="s">
        <v>121</v>
      </c>
      <c r="F6" s="57" t="s">
        <v>178</v>
      </c>
      <c r="G6" s="58">
        <v>25004</v>
      </c>
      <c r="H6" s="57" t="s">
        <v>180</v>
      </c>
      <c r="I6" s="57">
        <v>2020</v>
      </c>
      <c r="J6" s="57">
        <v>20000</v>
      </c>
      <c r="K6" s="57">
        <v>20000</v>
      </c>
      <c r="L6" s="57" t="s">
        <v>191</v>
      </c>
      <c r="M6" s="57" t="s">
        <v>196</v>
      </c>
      <c r="N6" s="57" t="s">
        <v>210</v>
      </c>
      <c r="O6" s="57" t="s">
        <v>227</v>
      </c>
      <c r="P6" s="57" t="s">
        <v>214</v>
      </c>
      <c r="Q6" s="57" t="s">
        <v>177</v>
      </c>
      <c r="R6" s="57" t="s">
        <v>196</v>
      </c>
      <c r="S6" s="58">
        <v>43212</v>
      </c>
      <c r="T6" s="57" t="s">
        <v>279</v>
      </c>
      <c r="U6" s="64">
        <v>1</v>
      </c>
    </row>
    <row r="7" spans="1:21" x14ac:dyDescent="0.35">
      <c r="A7" s="57">
        <v>2020</v>
      </c>
      <c r="B7" s="57" t="s">
        <v>6</v>
      </c>
      <c r="C7" s="57" t="s">
        <v>28</v>
      </c>
      <c r="D7" s="57" t="s">
        <v>65</v>
      </c>
      <c r="E7" s="57" t="s">
        <v>122</v>
      </c>
      <c r="F7" s="57" t="s">
        <v>178</v>
      </c>
      <c r="G7" s="58">
        <v>31385</v>
      </c>
      <c r="H7" s="57" t="s">
        <v>181</v>
      </c>
      <c r="I7" s="57">
        <v>2020</v>
      </c>
      <c r="J7" s="57">
        <v>125000</v>
      </c>
      <c r="L7" s="57" t="s">
        <v>191</v>
      </c>
      <c r="M7" s="57" t="s">
        <v>197</v>
      </c>
      <c r="N7" s="57" t="s">
        <v>209</v>
      </c>
      <c r="O7" s="57" t="s">
        <v>173</v>
      </c>
      <c r="P7" s="57" t="s">
        <v>215</v>
      </c>
      <c r="Q7" s="57" t="s">
        <v>177</v>
      </c>
      <c r="R7" s="57" t="s">
        <v>197</v>
      </c>
      <c r="S7" s="58">
        <v>40517</v>
      </c>
      <c r="T7" s="57" t="s">
        <v>280</v>
      </c>
      <c r="U7" s="64">
        <v>1</v>
      </c>
    </row>
    <row r="8" spans="1:21" x14ac:dyDescent="0.35">
      <c r="A8" s="57">
        <v>2018</v>
      </c>
      <c r="B8" s="57" t="s">
        <v>5</v>
      </c>
      <c r="C8" s="57" t="s">
        <v>27</v>
      </c>
      <c r="D8" s="57" t="s">
        <v>61</v>
      </c>
      <c r="E8" s="57" t="s">
        <v>123</v>
      </c>
      <c r="F8" s="57" t="s">
        <v>177</v>
      </c>
      <c r="G8" s="58">
        <v>20402</v>
      </c>
      <c r="H8" s="57" t="s">
        <v>182</v>
      </c>
      <c r="I8" s="57">
        <v>2021</v>
      </c>
      <c r="J8" s="57">
        <v>150000</v>
      </c>
      <c r="K8" s="57">
        <v>30000</v>
      </c>
      <c r="L8" s="57" t="s">
        <v>190</v>
      </c>
      <c r="M8" s="57" t="s">
        <v>198</v>
      </c>
      <c r="N8" s="57" t="s">
        <v>209</v>
      </c>
      <c r="O8" s="57" t="s">
        <v>228</v>
      </c>
      <c r="P8" s="57" t="s">
        <v>216</v>
      </c>
      <c r="Q8" s="57" t="s">
        <v>178</v>
      </c>
      <c r="R8" s="57" t="s">
        <v>198</v>
      </c>
      <c r="S8" s="58">
        <v>38594</v>
      </c>
      <c r="T8" s="57" t="s">
        <v>113</v>
      </c>
      <c r="U8" s="64">
        <v>1</v>
      </c>
    </row>
    <row r="9" spans="1:21" x14ac:dyDescent="0.35">
      <c r="A9" s="57">
        <v>2018</v>
      </c>
      <c r="B9" s="57" t="s">
        <v>7</v>
      </c>
      <c r="C9" s="57" t="s">
        <v>30</v>
      </c>
      <c r="D9" s="57" t="s">
        <v>74</v>
      </c>
      <c r="E9" s="57" t="s">
        <v>124</v>
      </c>
      <c r="F9" s="57" t="s">
        <v>177</v>
      </c>
      <c r="G9" s="58">
        <v>33815</v>
      </c>
      <c r="H9" s="57" t="s">
        <v>183</v>
      </c>
      <c r="I9" s="57">
        <v>2019</v>
      </c>
      <c r="J9" s="57">
        <v>230000</v>
      </c>
      <c r="K9" s="57">
        <v>15000</v>
      </c>
      <c r="L9" s="57" t="s">
        <v>192</v>
      </c>
      <c r="M9" s="57" t="s">
        <v>199</v>
      </c>
      <c r="N9" s="57" t="s">
        <v>211</v>
      </c>
      <c r="O9" s="57" t="s">
        <v>229</v>
      </c>
      <c r="P9" s="57" t="s">
        <v>217</v>
      </c>
      <c r="Q9" s="57" t="s">
        <v>177</v>
      </c>
      <c r="R9" s="57" t="s">
        <v>201</v>
      </c>
      <c r="S9" s="58">
        <v>42447</v>
      </c>
      <c r="T9" s="57" t="s">
        <v>281</v>
      </c>
      <c r="U9" s="64">
        <v>1</v>
      </c>
    </row>
    <row r="10" spans="1:21" x14ac:dyDescent="0.35">
      <c r="A10" s="57">
        <v>2021</v>
      </c>
      <c r="B10" s="57" t="s">
        <v>1</v>
      </c>
      <c r="C10" s="57" t="s">
        <v>17</v>
      </c>
      <c r="D10" s="57" t="s">
        <v>66</v>
      </c>
      <c r="E10" s="57" t="s">
        <v>125</v>
      </c>
      <c r="F10" s="57" t="s">
        <v>178</v>
      </c>
      <c r="G10" s="58">
        <v>23272</v>
      </c>
      <c r="H10" s="57" t="s">
        <v>182</v>
      </c>
      <c r="I10" s="57">
        <v>2017</v>
      </c>
      <c r="J10" s="57">
        <v>45000</v>
      </c>
      <c r="K10" s="57">
        <v>25000</v>
      </c>
      <c r="L10" s="57" t="s">
        <v>190</v>
      </c>
      <c r="M10" s="57" t="s">
        <v>200</v>
      </c>
      <c r="N10" s="57" t="s">
        <v>209</v>
      </c>
      <c r="O10" s="57" t="s">
        <v>230</v>
      </c>
      <c r="P10" s="57" t="s">
        <v>218</v>
      </c>
      <c r="Q10" s="57" t="s">
        <v>177</v>
      </c>
      <c r="R10" s="57" t="s">
        <v>201</v>
      </c>
      <c r="S10" s="58">
        <v>39397</v>
      </c>
      <c r="T10" s="57" t="s">
        <v>280</v>
      </c>
      <c r="U10" s="64">
        <v>1</v>
      </c>
    </row>
    <row r="11" spans="1:21" x14ac:dyDescent="0.35">
      <c r="A11" s="57">
        <v>2019</v>
      </c>
      <c r="B11" s="57" t="s">
        <v>1</v>
      </c>
      <c r="C11" s="57" t="s">
        <v>17</v>
      </c>
      <c r="D11" s="57" t="s">
        <v>69</v>
      </c>
      <c r="E11" s="57" t="s">
        <v>122</v>
      </c>
      <c r="F11" s="57" t="s">
        <v>177</v>
      </c>
      <c r="G11" s="58">
        <v>28556</v>
      </c>
      <c r="H11" s="57" t="s">
        <v>184</v>
      </c>
      <c r="I11" s="57">
        <v>2022</v>
      </c>
      <c r="J11" s="57">
        <v>230000</v>
      </c>
      <c r="K11" s="57">
        <v>10000</v>
      </c>
      <c r="L11" s="57" t="s">
        <v>190</v>
      </c>
      <c r="M11" s="57" t="s">
        <v>201</v>
      </c>
      <c r="N11" s="57" t="s">
        <v>210</v>
      </c>
      <c r="O11" s="57" t="s">
        <v>231</v>
      </c>
      <c r="P11" s="57" t="s">
        <v>219</v>
      </c>
      <c r="Q11" s="57" t="s">
        <v>178</v>
      </c>
      <c r="R11" s="57" t="s">
        <v>201</v>
      </c>
      <c r="S11" s="58">
        <v>43711</v>
      </c>
      <c r="T11" s="57" t="s">
        <v>280</v>
      </c>
      <c r="U11" s="64">
        <v>1</v>
      </c>
    </row>
    <row r="12" spans="1:21" x14ac:dyDescent="0.35">
      <c r="A12" s="57">
        <v>2018</v>
      </c>
      <c r="B12" s="57" t="s">
        <v>4</v>
      </c>
      <c r="C12" s="57" t="s">
        <v>117</v>
      </c>
      <c r="D12" s="57" t="s">
        <v>64</v>
      </c>
      <c r="E12" s="57" t="s">
        <v>126</v>
      </c>
      <c r="F12" s="57" t="s">
        <v>177</v>
      </c>
      <c r="G12" s="58">
        <v>32640</v>
      </c>
      <c r="H12" s="57" t="s">
        <v>185</v>
      </c>
      <c r="I12" s="57">
        <v>2020</v>
      </c>
      <c r="J12" s="57">
        <v>65000</v>
      </c>
      <c r="K12" s="57">
        <v>20000</v>
      </c>
      <c r="L12" s="57" t="s">
        <v>190</v>
      </c>
      <c r="M12" s="57" t="s">
        <v>202</v>
      </c>
      <c r="N12" s="57" t="s">
        <v>209</v>
      </c>
      <c r="O12" s="57" t="s">
        <v>232</v>
      </c>
      <c r="P12" s="57" t="s">
        <v>220</v>
      </c>
      <c r="Q12" s="57" t="s">
        <v>177</v>
      </c>
      <c r="R12" s="57" t="s">
        <v>202</v>
      </c>
      <c r="S12" s="58">
        <v>38863</v>
      </c>
      <c r="T12" s="57" t="s">
        <v>282</v>
      </c>
      <c r="U12" s="64">
        <v>1</v>
      </c>
    </row>
    <row r="13" spans="1:21" x14ac:dyDescent="0.35">
      <c r="A13" s="57">
        <v>2021</v>
      </c>
      <c r="B13" s="57" t="s">
        <v>2</v>
      </c>
      <c r="C13" s="57" t="s">
        <v>19</v>
      </c>
      <c r="D13" s="57" t="s">
        <v>61</v>
      </c>
      <c r="E13" s="57" t="s">
        <v>127</v>
      </c>
      <c r="F13" s="57" t="s">
        <v>178</v>
      </c>
      <c r="G13" s="58">
        <v>22579</v>
      </c>
      <c r="H13" s="57" t="s">
        <v>186</v>
      </c>
      <c r="I13" s="57">
        <v>2019</v>
      </c>
      <c r="J13" s="57">
        <v>120000</v>
      </c>
      <c r="K13" s="57">
        <v>30000</v>
      </c>
      <c r="L13" s="57" t="s">
        <v>191</v>
      </c>
      <c r="M13" s="57" t="s">
        <v>203</v>
      </c>
      <c r="N13" s="57" t="s">
        <v>209</v>
      </c>
      <c r="O13" s="57" t="s">
        <v>233</v>
      </c>
      <c r="P13" s="57" t="s">
        <v>213</v>
      </c>
      <c r="Q13" s="57" t="s">
        <v>178</v>
      </c>
      <c r="R13" s="57" t="s">
        <v>203</v>
      </c>
      <c r="S13" s="58">
        <v>41653</v>
      </c>
      <c r="T13" s="57" t="s">
        <v>113</v>
      </c>
      <c r="U13" s="64">
        <v>1</v>
      </c>
    </row>
    <row r="14" spans="1:21" x14ac:dyDescent="0.35">
      <c r="A14" s="57">
        <v>2020</v>
      </c>
      <c r="B14" s="57" t="s">
        <v>5</v>
      </c>
      <c r="C14" s="57" t="s">
        <v>27</v>
      </c>
      <c r="D14" s="57" t="s">
        <v>70</v>
      </c>
      <c r="E14" s="57" t="s">
        <v>128</v>
      </c>
      <c r="F14" s="57" t="s">
        <v>178</v>
      </c>
      <c r="G14" s="58">
        <v>21213</v>
      </c>
      <c r="H14" s="57" t="s">
        <v>186</v>
      </c>
      <c r="I14" s="57">
        <v>2019</v>
      </c>
      <c r="J14" s="57">
        <v>80000</v>
      </c>
      <c r="L14" s="57" t="s">
        <v>193</v>
      </c>
      <c r="M14" s="57" t="s">
        <v>195</v>
      </c>
      <c r="N14" s="57" t="s">
        <v>210</v>
      </c>
      <c r="O14" s="57" t="s">
        <v>234</v>
      </c>
      <c r="P14" s="57" t="s">
        <v>214</v>
      </c>
      <c r="Q14" s="57" t="s">
        <v>177</v>
      </c>
      <c r="R14" s="57" t="s">
        <v>203</v>
      </c>
      <c r="S14" s="58">
        <v>42284</v>
      </c>
      <c r="T14" s="57" t="s">
        <v>281</v>
      </c>
      <c r="U14" s="64">
        <v>1</v>
      </c>
    </row>
    <row r="15" spans="1:21" x14ac:dyDescent="0.35">
      <c r="A15" s="57">
        <v>2021</v>
      </c>
      <c r="B15" s="57" t="s">
        <v>4</v>
      </c>
      <c r="C15" s="57" t="s">
        <v>117</v>
      </c>
      <c r="D15" s="57" t="s">
        <v>62</v>
      </c>
      <c r="E15" s="57" t="s">
        <v>129</v>
      </c>
      <c r="F15" s="57" t="s">
        <v>178</v>
      </c>
      <c r="G15" s="58">
        <v>27138</v>
      </c>
      <c r="H15" s="57" t="s">
        <v>181</v>
      </c>
      <c r="I15" s="57">
        <v>2018</v>
      </c>
      <c r="J15" s="57">
        <v>95000</v>
      </c>
      <c r="K15" s="57">
        <v>20000</v>
      </c>
      <c r="L15" s="57" t="s">
        <v>191</v>
      </c>
      <c r="M15" s="57" t="s">
        <v>196</v>
      </c>
      <c r="N15" s="57" t="s">
        <v>210</v>
      </c>
      <c r="O15" s="57" t="s">
        <v>235</v>
      </c>
      <c r="P15" s="57" t="s">
        <v>213</v>
      </c>
      <c r="Q15" s="57" t="s">
        <v>178</v>
      </c>
      <c r="R15" s="57" t="s">
        <v>196</v>
      </c>
      <c r="S15" s="58">
        <v>37822</v>
      </c>
      <c r="T15" s="57" t="s">
        <v>282</v>
      </c>
      <c r="U15" s="64">
        <v>1</v>
      </c>
    </row>
    <row r="16" spans="1:21" x14ac:dyDescent="0.35">
      <c r="A16" s="57">
        <v>2022</v>
      </c>
      <c r="B16" s="57" t="s">
        <v>2</v>
      </c>
      <c r="C16" s="57" t="s">
        <v>19</v>
      </c>
      <c r="D16" s="57" t="s">
        <v>61</v>
      </c>
      <c r="E16" s="57" t="s">
        <v>130</v>
      </c>
      <c r="F16" s="57" t="s">
        <v>177</v>
      </c>
      <c r="G16" s="58">
        <v>35009</v>
      </c>
      <c r="H16" s="57" t="s">
        <v>186</v>
      </c>
      <c r="I16" s="57">
        <v>2017</v>
      </c>
      <c r="J16" s="57">
        <v>180000</v>
      </c>
      <c r="K16" s="57">
        <v>25000</v>
      </c>
      <c r="L16" s="57" t="s">
        <v>190</v>
      </c>
      <c r="M16" s="57" t="s">
        <v>197</v>
      </c>
      <c r="N16" s="57" t="s">
        <v>209</v>
      </c>
      <c r="O16" s="57" t="s">
        <v>236</v>
      </c>
      <c r="P16" s="57" t="s">
        <v>215</v>
      </c>
      <c r="Q16" s="57" t="s">
        <v>177</v>
      </c>
      <c r="R16" s="57" t="s">
        <v>197</v>
      </c>
      <c r="S16" s="58">
        <v>44139</v>
      </c>
      <c r="T16" s="57" t="s">
        <v>280</v>
      </c>
      <c r="U16" s="64">
        <v>1</v>
      </c>
    </row>
    <row r="17" spans="1:21" x14ac:dyDescent="0.35">
      <c r="A17" s="57">
        <v>2019</v>
      </c>
      <c r="B17" s="57" t="s">
        <v>1</v>
      </c>
      <c r="C17" s="57" t="s">
        <v>17</v>
      </c>
      <c r="D17" s="57" t="s">
        <v>74</v>
      </c>
      <c r="E17" s="57" t="s">
        <v>131</v>
      </c>
      <c r="F17" s="57" t="s">
        <v>178</v>
      </c>
      <c r="G17" s="58">
        <v>25437</v>
      </c>
      <c r="H17" s="57" t="s">
        <v>184</v>
      </c>
      <c r="I17" s="57">
        <v>2018</v>
      </c>
      <c r="J17" s="57">
        <v>175000</v>
      </c>
      <c r="K17" s="57">
        <v>30000</v>
      </c>
      <c r="L17" s="57" t="s">
        <v>190</v>
      </c>
      <c r="M17" s="57" t="s">
        <v>198</v>
      </c>
      <c r="N17" s="57" t="s">
        <v>212</v>
      </c>
      <c r="O17" s="57" t="s">
        <v>237</v>
      </c>
      <c r="P17" s="57" t="s">
        <v>217</v>
      </c>
      <c r="Q17" s="57" t="s">
        <v>177</v>
      </c>
      <c r="R17" s="57" t="s">
        <v>198</v>
      </c>
      <c r="S17" s="58">
        <v>39861</v>
      </c>
      <c r="T17" s="57" t="s">
        <v>113</v>
      </c>
      <c r="U17" s="64">
        <v>1</v>
      </c>
    </row>
    <row r="18" spans="1:21" x14ac:dyDescent="0.35">
      <c r="A18" s="57">
        <v>2019</v>
      </c>
      <c r="B18" s="57" t="s">
        <v>10</v>
      </c>
      <c r="C18" s="57" t="s">
        <v>45</v>
      </c>
      <c r="D18" s="57" t="s">
        <v>61</v>
      </c>
      <c r="E18" s="57" t="s">
        <v>132</v>
      </c>
      <c r="F18" s="57" t="s">
        <v>177</v>
      </c>
      <c r="G18" s="58">
        <v>29992</v>
      </c>
      <c r="H18" s="57" t="s">
        <v>187</v>
      </c>
      <c r="I18" s="57">
        <v>2018</v>
      </c>
      <c r="J18" s="57">
        <v>75000</v>
      </c>
      <c r="K18" s="57">
        <v>10000</v>
      </c>
      <c r="L18" s="57" t="s">
        <v>191</v>
      </c>
      <c r="M18" s="57" t="s">
        <v>199</v>
      </c>
      <c r="N18" s="57" t="s">
        <v>210</v>
      </c>
      <c r="O18" s="57" t="s">
        <v>238</v>
      </c>
      <c r="P18" s="57" t="s">
        <v>216</v>
      </c>
      <c r="Q18" s="57" t="s">
        <v>178</v>
      </c>
      <c r="R18" s="57" t="s">
        <v>199</v>
      </c>
      <c r="S18" s="58">
        <v>41454</v>
      </c>
      <c r="T18" s="57" t="s">
        <v>282</v>
      </c>
      <c r="U18" s="64">
        <v>1</v>
      </c>
    </row>
    <row r="19" spans="1:21" x14ac:dyDescent="0.35">
      <c r="A19" s="57">
        <v>2018</v>
      </c>
      <c r="B19" s="57" t="s">
        <v>11</v>
      </c>
      <c r="C19" s="57" t="s">
        <v>46</v>
      </c>
      <c r="D19" s="57" t="s">
        <v>62</v>
      </c>
      <c r="E19" s="57" t="s">
        <v>133</v>
      </c>
      <c r="F19" s="57" t="s">
        <v>177</v>
      </c>
      <c r="G19" s="58">
        <v>26117</v>
      </c>
      <c r="H19" s="57" t="s">
        <v>179</v>
      </c>
      <c r="I19" s="57">
        <v>2019</v>
      </c>
      <c r="J19" s="57">
        <v>145000</v>
      </c>
      <c r="L19" s="57" t="s">
        <v>191</v>
      </c>
      <c r="M19" s="57" t="s">
        <v>200</v>
      </c>
      <c r="N19" s="57" t="s">
        <v>209</v>
      </c>
      <c r="O19" s="57" t="s">
        <v>176</v>
      </c>
      <c r="P19" s="57" t="s">
        <v>214</v>
      </c>
      <c r="Q19" s="57" t="s">
        <v>177</v>
      </c>
      <c r="R19" s="57" t="s">
        <v>199</v>
      </c>
      <c r="S19" s="58">
        <v>43081</v>
      </c>
      <c r="T19" s="57" t="s">
        <v>279</v>
      </c>
      <c r="U19" s="64">
        <v>1</v>
      </c>
    </row>
    <row r="20" spans="1:21" x14ac:dyDescent="0.35">
      <c r="A20" s="57">
        <v>2021</v>
      </c>
      <c r="B20" s="57" t="s">
        <v>10</v>
      </c>
      <c r="C20" s="57" t="s">
        <v>45</v>
      </c>
      <c r="D20" s="57" t="s">
        <v>70</v>
      </c>
      <c r="E20" s="57" t="s">
        <v>134</v>
      </c>
      <c r="F20" s="57" t="s">
        <v>177</v>
      </c>
      <c r="G20" s="58">
        <v>32125</v>
      </c>
      <c r="H20" s="57" t="s">
        <v>188</v>
      </c>
      <c r="I20" s="57">
        <v>2020</v>
      </c>
      <c r="J20" s="57">
        <v>175000</v>
      </c>
      <c r="K20" s="57">
        <v>15000</v>
      </c>
      <c r="L20" s="57" t="s">
        <v>192</v>
      </c>
      <c r="M20" s="57" t="s">
        <v>201</v>
      </c>
      <c r="N20" s="57" t="s">
        <v>209</v>
      </c>
      <c r="O20" s="57" t="s">
        <v>239</v>
      </c>
      <c r="P20" s="57" t="s">
        <v>219</v>
      </c>
      <c r="Q20" s="57" t="s">
        <v>178</v>
      </c>
      <c r="R20" s="57" t="s">
        <v>199</v>
      </c>
      <c r="S20" s="58">
        <v>39716</v>
      </c>
      <c r="T20" s="57" t="s">
        <v>281</v>
      </c>
      <c r="U20" s="64">
        <v>1</v>
      </c>
    </row>
    <row r="21" spans="1:21" x14ac:dyDescent="0.35">
      <c r="A21" s="57">
        <v>2020</v>
      </c>
      <c r="B21" s="57" t="s">
        <v>1</v>
      </c>
      <c r="C21" s="57" t="s">
        <v>17</v>
      </c>
      <c r="D21" s="57" t="s">
        <v>61</v>
      </c>
      <c r="E21" s="57" t="s">
        <v>135</v>
      </c>
      <c r="F21" s="57" t="s">
        <v>178</v>
      </c>
      <c r="G21" s="58">
        <v>23993</v>
      </c>
      <c r="H21" s="57" t="s">
        <v>183</v>
      </c>
      <c r="I21" s="57">
        <v>2017</v>
      </c>
      <c r="J21" s="57">
        <v>65000</v>
      </c>
      <c r="K21" s="57">
        <v>25000</v>
      </c>
      <c r="L21" s="57" t="s">
        <v>190</v>
      </c>
      <c r="M21" s="57" t="s">
        <v>202</v>
      </c>
      <c r="N21" s="57" t="s">
        <v>210</v>
      </c>
      <c r="O21" s="57" t="s">
        <v>240</v>
      </c>
      <c r="P21" s="57" t="s">
        <v>221</v>
      </c>
      <c r="Q21" s="57" t="s">
        <v>177</v>
      </c>
      <c r="R21" s="57" t="s">
        <v>202</v>
      </c>
      <c r="S21" s="58">
        <v>40641</v>
      </c>
      <c r="T21" s="57" t="s">
        <v>280</v>
      </c>
      <c r="U21" s="64">
        <v>1</v>
      </c>
    </row>
    <row r="22" spans="1:21" x14ac:dyDescent="0.35">
      <c r="A22" s="57">
        <v>2019</v>
      </c>
      <c r="B22" s="57" t="s">
        <v>7</v>
      </c>
      <c r="C22" s="57" t="s">
        <v>30</v>
      </c>
      <c r="D22" s="57" t="s">
        <v>66</v>
      </c>
      <c r="E22" s="57" t="s">
        <v>136</v>
      </c>
      <c r="F22" s="57" t="s">
        <v>177</v>
      </c>
      <c r="G22" s="58">
        <v>36340</v>
      </c>
      <c r="H22" s="57" t="s">
        <v>184</v>
      </c>
      <c r="I22" s="57">
        <v>2020</v>
      </c>
      <c r="J22" s="57">
        <v>20000</v>
      </c>
      <c r="K22" s="57">
        <v>20000</v>
      </c>
      <c r="L22" s="57" t="s">
        <v>191</v>
      </c>
      <c r="M22" s="57" t="s">
        <v>204</v>
      </c>
      <c r="N22" s="57" t="s">
        <v>209</v>
      </c>
      <c r="O22" s="57" t="s">
        <v>241</v>
      </c>
      <c r="P22" s="57" t="s">
        <v>218</v>
      </c>
      <c r="Q22" s="57" t="s">
        <v>178</v>
      </c>
      <c r="R22" s="57" t="s">
        <v>204</v>
      </c>
      <c r="S22" s="58">
        <v>44197</v>
      </c>
      <c r="T22" s="57" t="s">
        <v>113</v>
      </c>
      <c r="U22" s="64">
        <v>1</v>
      </c>
    </row>
    <row r="23" spans="1:21" x14ac:dyDescent="0.35">
      <c r="A23" s="57">
        <v>2018</v>
      </c>
      <c r="B23" s="57" t="s">
        <v>77</v>
      </c>
      <c r="C23" s="57" t="s">
        <v>35</v>
      </c>
      <c r="D23" s="57" t="s">
        <v>119</v>
      </c>
      <c r="E23" s="57" t="s">
        <v>137</v>
      </c>
      <c r="F23" s="57" t="s">
        <v>177</v>
      </c>
      <c r="G23" s="58">
        <v>19735</v>
      </c>
      <c r="H23" s="57" t="s">
        <v>186</v>
      </c>
      <c r="I23" s="57">
        <v>2021</v>
      </c>
      <c r="J23" s="57">
        <v>125000</v>
      </c>
      <c r="K23" s="57">
        <v>10000</v>
      </c>
      <c r="L23" s="57" t="s">
        <v>193</v>
      </c>
      <c r="M23" s="57" t="s">
        <v>195</v>
      </c>
      <c r="N23" s="57" t="s">
        <v>211</v>
      </c>
      <c r="O23" s="57" t="s">
        <v>242</v>
      </c>
      <c r="P23" s="57" t="s">
        <v>213</v>
      </c>
      <c r="Q23" s="57" t="s">
        <v>177</v>
      </c>
      <c r="R23" s="57" t="s">
        <v>195</v>
      </c>
      <c r="S23" s="58">
        <v>41866</v>
      </c>
      <c r="T23" s="57" t="s">
        <v>279</v>
      </c>
      <c r="U23" s="64">
        <v>1</v>
      </c>
    </row>
    <row r="24" spans="1:21" x14ac:dyDescent="0.35">
      <c r="A24" s="57">
        <v>2018</v>
      </c>
      <c r="B24" s="57" t="s">
        <v>1</v>
      </c>
      <c r="C24" s="57" t="s">
        <v>17</v>
      </c>
      <c r="D24" s="57" t="s">
        <v>63</v>
      </c>
      <c r="E24" s="57" t="s">
        <v>138</v>
      </c>
      <c r="F24" s="57" t="s">
        <v>178</v>
      </c>
      <c r="G24" s="58">
        <v>29300</v>
      </c>
      <c r="H24" s="57" t="s">
        <v>185</v>
      </c>
      <c r="I24" s="57">
        <v>2020</v>
      </c>
      <c r="J24" s="57">
        <v>45000</v>
      </c>
      <c r="L24" s="57" t="s">
        <v>190</v>
      </c>
      <c r="M24" s="57" t="s">
        <v>196</v>
      </c>
      <c r="N24" s="57" t="s">
        <v>210</v>
      </c>
      <c r="O24" s="57" t="s">
        <v>243</v>
      </c>
      <c r="P24" s="57" t="s">
        <v>216</v>
      </c>
      <c r="Q24" s="57" t="s">
        <v>178</v>
      </c>
      <c r="R24" s="57" t="s">
        <v>196</v>
      </c>
      <c r="S24" s="58">
        <v>38048</v>
      </c>
      <c r="T24" s="57" t="s">
        <v>281</v>
      </c>
      <c r="U24" s="64">
        <v>1</v>
      </c>
    </row>
    <row r="25" spans="1:21" x14ac:dyDescent="0.35">
      <c r="A25" s="57">
        <v>2022</v>
      </c>
      <c r="B25" s="57" t="s">
        <v>10</v>
      </c>
      <c r="C25" s="57" t="s">
        <v>45</v>
      </c>
      <c r="D25" s="57" t="s">
        <v>74</v>
      </c>
      <c r="E25" s="57" t="s">
        <v>139</v>
      </c>
      <c r="F25" s="57" t="s">
        <v>178</v>
      </c>
      <c r="G25" s="58">
        <v>26436</v>
      </c>
      <c r="H25" s="57" t="s">
        <v>180</v>
      </c>
      <c r="I25" s="57">
        <v>2017</v>
      </c>
      <c r="J25" s="57">
        <v>145000</v>
      </c>
      <c r="K25" s="57">
        <v>30000</v>
      </c>
      <c r="L25" s="57" t="s">
        <v>191</v>
      </c>
      <c r="M25" s="57" t="s">
        <v>197</v>
      </c>
      <c r="N25" s="57" t="s">
        <v>209</v>
      </c>
      <c r="O25" s="57" t="s">
        <v>244</v>
      </c>
      <c r="P25" s="57" t="s">
        <v>214</v>
      </c>
      <c r="Q25" s="57" t="s">
        <v>178</v>
      </c>
      <c r="R25" s="57" t="s">
        <v>197</v>
      </c>
      <c r="S25" s="58">
        <v>42499</v>
      </c>
      <c r="T25" s="57" t="s">
        <v>282</v>
      </c>
      <c r="U25" s="64">
        <v>1</v>
      </c>
    </row>
    <row r="26" spans="1:21" x14ac:dyDescent="0.35">
      <c r="A26" s="57">
        <v>2020</v>
      </c>
      <c r="B26" s="57" t="s">
        <v>5</v>
      </c>
      <c r="C26" s="57" t="s">
        <v>27</v>
      </c>
      <c r="D26" s="57" t="s">
        <v>67</v>
      </c>
      <c r="E26" s="57" t="s">
        <v>140</v>
      </c>
      <c r="F26" s="57" t="s">
        <v>177</v>
      </c>
      <c r="G26" s="58">
        <v>33151</v>
      </c>
      <c r="H26" s="57" t="s">
        <v>184</v>
      </c>
      <c r="I26" s="57">
        <v>2018</v>
      </c>
      <c r="J26" s="57">
        <v>180000</v>
      </c>
      <c r="K26" s="57">
        <v>20000</v>
      </c>
      <c r="L26" s="57" t="s">
        <v>191</v>
      </c>
      <c r="M26" s="57" t="s">
        <v>198</v>
      </c>
      <c r="N26" s="57" t="s">
        <v>209</v>
      </c>
      <c r="O26" s="57" t="s">
        <v>174</v>
      </c>
      <c r="P26" s="57" t="s">
        <v>217</v>
      </c>
      <c r="Q26" s="57" t="s">
        <v>177</v>
      </c>
      <c r="R26" s="57" t="s">
        <v>198</v>
      </c>
      <c r="S26" s="58">
        <v>43761</v>
      </c>
      <c r="T26" s="57" t="s">
        <v>280</v>
      </c>
      <c r="U26" s="64">
        <v>1</v>
      </c>
    </row>
    <row r="27" spans="1:21" x14ac:dyDescent="0.35">
      <c r="A27" s="57">
        <v>2021</v>
      </c>
      <c r="B27" s="57" t="s">
        <v>11</v>
      </c>
      <c r="C27" s="57" t="s">
        <v>46</v>
      </c>
      <c r="D27" s="57" t="s">
        <v>69</v>
      </c>
      <c r="E27" s="57" t="s">
        <v>141</v>
      </c>
      <c r="F27" s="57" t="s">
        <v>178</v>
      </c>
      <c r="G27" s="58">
        <v>21880</v>
      </c>
      <c r="H27" s="57" t="s">
        <v>183</v>
      </c>
      <c r="I27" s="57">
        <v>2017</v>
      </c>
      <c r="J27" s="57">
        <v>230000</v>
      </c>
      <c r="K27" s="57">
        <v>15000</v>
      </c>
      <c r="L27" s="57" t="s">
        <v>190</v>
      </c>
      <c r="M27" s="57" t="s">
        <v>199</v>
      </c>
      <c r="N27" s="57" t="s">
        <v>209</v>
      </c>
      <c r="O27" s="57" t="s">
        <v>245</v>
      </c>
      <c r="P27" s="57" t="s">
        <v>215</v>
      </c>
      <c r="Q27" s="57" t="s">
        <v>178</v>
      </c>
      <c r="R27" s="57" t="s">
        <v>199</v>
      </c>
      <c r="S27" s="58">
        <v>38509</v>
      </c>
      <c r="T27" s="57" t="s">
        <v>113</v>
      </c>
      <c r="U27" s="64">
        <v>1</v>
      </c>
    </row>
    <row r="28" spans="1:21" x14ac:dyDescent="0.35">
      <c r="A28" s="57">
        <v>2019</v>
      </c>
      <c r="B28" s="57" t="s">
        <v>7</v>
      </c>
      <c r="C28" s="57" t="s">
        <v>30</v>
      </c>
      <c r="D28" s="57" t="s">
        <v>65</v>
      </c>
      <c r="E28" s="57" t="s">
        <v>142</v>
      </c>
      <c r="F28" s="57" t="s">
        <v>178</v>
      </c>
      <c r="G28" s="58">
        <v>28228</v>
      </c>
      <c r="H28" s="57" t="s">
        <v>186</v>
      </c>
      <c r="I28" s="57">
        <v>2017</v>
      </c>
      <c r="J28" s="57">
        <v>75000</v>
      </c>
      <c r="K28" s="57">
        <v>10000</v>
      </c>
      <c r="L28" s="57" t="s">
        <v>190</v>
      </c>
      <c r="M28" s="57" t="s">
        <v>200</v>
      </c>
      <c r="N28" s="57" t="s">
        <v>210</v>
      </c>
      <c r="O28" s="57" t="s">
        <v>246</v>
      </c>
      <c r="P28" s="57" t="s">
        <v>219</v>
      </c>
      <c r="Q28" s="57" t="s">
        <v>177</v>
      </c>
      <c r="R28" s="57" t="s">
        <v>200</v>
      </c>
      <c r="S28" s="58">
        <v>40197</v>
      </c>
      <c r="T28" s="57" t="s">
        <v>279</v>
      </c>
      <c r="U28" s="64">
        <v>1</v>
      </c>
    </row>
    <row r="29" spans="1:21" x14ac:dyDescent="0.35">
      <c r="A29" s="57">
        <v>2020</v>
      </c>
      <c r="B29" s="57" t="s">
        <v>11</v>
      </c>
      <c r="C29" s="57" t="s">
        <v>46</v>
      </c>
      <c r="D29" s="57" t="s">
        <v>63</v>
      </c>
      <c r="E29" s="57" t="s">
        <v>122</v>
      </c>
      <c r="F29" s="57" t="s">
        <v>177</v>
      </c>
      <c r="G29" s="58">
        <v>31464</v>
      </c>
      <c r="H29" s="57" t="s">
        <v>187</v>
      </c>
      <c r="I29" s="57">
        <v>2022</v>
      </c>
      <c r="J29" s="57">
        <v>80000</v>
      </c>
      <c r="K29" s="57">
        <v>25000</v>
      </c>
      <c r="L29" s="57" t="s">
        <v>194</v>
      </c>
      <c r="M29" s="57" t="s">
        <v>201</v>
      </c>
      <c r="N29" s="57" t="s">
        <v>209</v>
      </c>
      <c r="O29" s="57" t="s">
        <v>247</v>
      </c>
      <c r="P29" s="57" t="s">
        <v>213</v>
      </c>
      <c r="Q29" s="57" t="s">
        <v>178</v>
      </c>
      <c r="R29" s="57" t="s">
        <v>200</v>
      </c>
      <c r="S29" s="58">
        <v>43312</v>
      </c>
      <c r="T29" s="57" t="s">
        <v>280</v>
      </c>
      <c r="U29" s="64">
        <v>1</v>
      </c>
    </row>
    <row r="30" spans="1:21" x14ac:dyDescent="0.35">
      <c r="A30" s="57">
        <v>2019</v>
      </c>
      <c r="B30" s="57" t="s">
        <v>10</v>
      </c>
      <c r="C30" s="57" t="s">
        <v>45</v>
      </c>
      <c r="D30" s="57" t="s">
        <v>64</v>
      </c>
      <c r="E30" s="57" t="s">
        <v>143</v>
      </c>
      <c r="F30" s="57" t="s">
        <v>177</v>
      </c>
      <c r="G30" s="58">
        <v>22130</v>
      </c>
      <c r="H30" s="57" t="s">
        <v>184</v>
      </c>
      <c r="I30" s="57">
        <v>2019</v>
      </c>
      <c r="J30" s="57">
        <v>230000</v>
      </c>
      <c r="K30" s="57">
        <v>30000</v>
      </c>
      <c r="L30" s="57" t="s">
        <v>190</v>
      </c>
      <c r="M30" s="57" t="s">
        <v>202</v>
      </c>
      <c r="N30" s="57" t="s">
        <v>212</v>
      </c>
      <c r="O30" s="57" t="s">
        <v>248</v>
      </c>
      <c r="P30" s="57" t="s">
        <v>214</v>
      </c>
      <c r="Q30" s="57" t="s">
        <v>177</v>
      </c>
      <c r="R30" s="57" t="s">
        <v>200</v>
      </c>
      <c r="S30" s="58">
        <v>39034</v>
      </c>
      <c r="T30" s="57" t="s">
        <v>281</v>
      </c>
      <c r="U30" s="64">
        <v>1</v>
      </c>
    </row>
    <row r="31" spans="1:21" x14ac:dyDescent="0.35">
      <c r="A31" s="57">
        <v>2021</v>
      </c>
      <c r="B31" s="57" t="s">
        <v>1</v>
      </c>
      <c r="C31" s="57" t="s">
        <v>17</v>
      </c>
      <c r="D31" s="57" t="s">
        <v>69</v>
      </c>
      <c r="E31" s="57" t="s">
        <v>144</v>
      </c>
      <c r="F31" s="57" t="s">
        <v>178</v>
      </c>
      <c r="G31" s="58">
        <v>34358</v>
      </c>
      <c r="H31" s="57" t="s">
        <v>189</v>
      </c>
      <c r="I31" s="57">
        <v>2018</v>
      </c>
      <c r="J31" s="57">
        <v>20000</v>
      </c>
      <c r="L31" s="57" t="s">
        <v>190</v>
      </c>
      <c r="M31" s="57" t="s">
        <v>205</v>
      </c>
      <c r="N31" s="57" t="s">
        <v>210</v>
      </c>
      <c r="O31" s="57" t="s">
        <v>249</v>
      </c>
      <c r="P31" s="57" t="s">
        <v>218</v>
      </c>
      <c r="Q31" s="57" t="s">
        <v>178</v>
      </c>
      <c r="R31" s="57" t="s">
        <v>200</v>
      </c>
      <c r="S31" s="58">
        <v>42851</v>
      </c>
      <c r="T31" s="57" t="s">
        <v>280</v>
      </c>
      <c r="U31" s="64">
        <v>1</v>
      </c>
    </row>
    <row r="32" spans="1:21" x14ac:dyDescent="0.35">
      <c r="A32" s="57">
        <v>2019</v>
      </c>
      <c r="B32" s="57" t="s">
        <v>6</v>
      </c>
      <c r="C32" s="57" t="s">
        <v>28</v>
      </c>
      <c r="D32" s="57" t="s">
        <v>73</v>
      </c>
      <c r="E32" s="57" t="s">
        <v>145</v>
      </c>
      <c r="F32" s="57" t="s">
        <v>177</v>
      </c>
      <c r="G32" s="58">
        <v>20622</v>
      </c>
      <c r="H32" s="57" t="s">
        <v>185</v>
      </c>
      <c r="I32" s="57">
        <v>2020</v>
      </c>
      <c r="J32" s="57">
        <v>175000</v>
      </c>
      <c r="K32" s="57">
        <v>20000</v>
      </c>
      <c r="L32" s="57" t="s">
        <v>191</v>
      </c>
      <c r="M32" s="57" t="s">
        <v>195</v>
      </c>
      <c r="N32" s="57" t="s">
        <v>210</v>
      </c>
      <c r="O32" s="57" t="s">
        <v>250</v>
      </c>
      <c r="P32" s="57" t="s">
        <v>216</v>
      </c>
      <c r="Q32" s="57" t="s">
        <v>177</v>
      </c>
      <c r="R32" s="57" t="s">
        <v>200</v>
      </c>
      <c r="S32" s="58">
        <v>42348</v>
      </c>
      <c r="T32" s="57" t="s">
        <v>113</v>
      </c>
      <c r="U32" s="64">
        <v>1</v>
      </c>
    </row>
    <row r="33" spans="1:21" x14ac:dyDescent="0.35">
      <c r="A33" s="57">
        <v>2021</v>
      </c>
      <c r="B33" s="57" t="s">
        <v>11</v>
      </c>
      <c r="C33" s="57" t="s">
        <v>46</v>
      </c>
      <c r="D33" s="57" t="s">
        <v>67</v>
      </c>
      <c r="E33" s="57" t="s">
        <v>146</v>
      </c>
      <c r="F33" s="57" t="s">
        <v>178</v>
      </c>
      <c r="G33" s="58">
        <v>24807</v>
      </c>
      <c r="H33" s="57" t="s">
        <v>186</v>
      </c>
      <c r="I33" s="57">
        <v>2019</v>
      </c>
      <c r="J33" s="57">
        <v>120000</v>
      </c>
      <c r="K33" s="57">
        <v>15000</v>
      </c>
      <c r="L33" s="57" t="s">
        <v>191</v>
      </c>
      <c r="M33" s="57" t="s">
        <v>196</v>
      </c>
      <c r="N33" s="57" t="s">
        <v>209</v>
      </c>
      <c r="O33" s="57" t="s">
        <v>251</v>
      </c>
      <c r="P33" s="57" t="s">
        <v>222</v>
      </c>
      <c r="Q33" s="57" t="s">
        <v>178</v>
      </c>
      <c r="R33" s="57" t="s">
        <v>201</v>
      </c>
      <c r="S33" s="58">
        <v>41521</v>
      </c>
      <c r="T33" s="57" t="s">
        <v>281</v>
      </c>
      <c r="U33" s="64">
        <v>1</v>
      </c>
    </row>
    <row r="34" spans="1:21" x14ac:dyDescent="0.35">
      <c r="A34" s="57">
        <v>2018</v>
      </c>
      <c r="B34" s="57" t="s">
        <v>7</v>
      </c>
      <c r="C34" s="57" t="s">
        <v>30</v>
      </c>
      <c r="D34" s="57" t="s">
        <v>65</v>
      </c>
      <c r="E34" s="57" t="s">
        <v>147</v>
      </c>
      <c r="F34" s="57" t="s">
        <v>178</v>
      </c>
      <c r="G34" s="58">
        <v>30524</v>
      </c>
      <c r="H34" s="57" t="s">
        <v>181</v>
      </c>
      <c r="I34" s="57">
        <v>2022</v>
      </c>
      <c r="J34" s="57">
        <v>230000</v>
      </c>
      <c r="K34" s="57">
        <v>10000</v>
      </c>
      <c r="L34" s="57" t="s">
        <v>190</v>
      </c>
      <c r="M34" s="57" t="s">
        <v>197</v>
      </c>
      <c r="N34" s="57" t="s">
        <v>210</v>
      </c>
      <c r="O34" s="57" t="s">
        <v>252</v>
      </c>
      <c r="P34" s="57" t="s">
        <v>215</v>
      </c>
      <c r="Q34" s="57" t="s">
        <v>177</v>
      </c>
      <c r="R34" s="57" t="s">
        <v>201</v>
      </c>
      <c r="S34" s="58">
        <v>36573</v>
      </c>
      <c r="T34" s="57" t="s">
        <v>282</v>
      </c>
      <c r="U34" s="64">
        <v>1</v>
      </c>
    </row>
    <row r="35" spans="1:21" x14ac:dyDescent="0.35">
      <c r="A35" s="57">
        <v>2019</v>
      </c>
      <c r="B35" s="57" t="s">
        <v>4</v>
      </c>
      <c r="C35" s="57" t="s">
        <v>117</v>
      </c>
      <c r="D35" s="57" t="s">
        <v>63</v>
      </c>
      <c r="E35" s="57" t="s">
        <v>148</v>
      </c>
      <c r="F35" s="57" t="s">
        <v>178</v>
      </c>
      <c r="G35" s="58">
        <v>26916</v>
      </c>
      <c r="H35" s="57" t="s">
        <v>185</v>
      </c>
      <c r="I35" s="57">
        <v>2018</v>
      </c>
      <c r="J35" s="57">
        <v>125000</v>
      </c>
      <c r="K35" s="57">
        <v>30000</v>
      </c>
      <c r="L35" s="57" t="s">
        <v>190</v>
      </c>
      <c r="M35" s="57" t="s">
        <v>198</v>
      </c>
      <c r="N35" s="57" t="s">
        <v>209</v>
      </c>
      <c r="O35" s="57" t="s">
        <v>253</v>
      </c>
      <c r="P35" s="57" t="s">
        <v>217</v>
      </c>
      <c r="Q35" s="57" t="s">
        <v>177</v>
      </c>
      <c r="R35" s="57" t="s">
        <v>201</v>
      </c>
      <c r="S35" s="58">
        <v>37853</v>
      </c>
      <c r="T35" s="57" t="s">
        <v>279</v>
      </c>
      <c r="U35" s="64">
        <v>1</v>
      </c>
    </row>
    <row r="36" spans="1:21" x14ac:dyDescent="0.35">
      <c r="A36" s="57">
        <v>2020</v>
      </c>
      <c r="B36" s="57" t="s">
        <v>8</v>
      </c>
      <c r="C36" s="57" t="s">
        <v>118</v>
      </c>
      <c r="D36" s="57" t="s">
        <v>67</v>
      </c>
      <c r="E36" s="57" t="s">
        <v>149</v>
      </c>
      <c r="F36" s="57" t="s">
        <v>177</v>
      </c>
      <c r="G36" s="58">
        <v>33560</v>
      </c>
      <c r="H36" s="57" t="s">
        <v>185</v>
      </c>
      <c r="I36" s="57">
        <v>2018</v>
      </c>
      <c r="J36" s="57">
        <v>150000</v>
      </c>
      <c r="L36" s="57" t="s">
        <v>190</v>
      </c>
      <c r="M36" s="57" t="s">
        <v>199</v>
      </c>
      <c r="N36" s="57" t="s">
        <v>210</v>
      </c>
      <c r="O36" s="57" t="s">
        <v>254</v>
      </c>
      <c r="P36" s="57" t="s">
        <v>214</v>
      </c>
      <c r="Q36" s="57" t="s">
        <v>178</v>
      </c>
      <c r="R36" s="57" t="s">
        <v>196</v>
      </c>
      <c r="S36" s="58">
        <v>41216</v>
      </c>
      <c r="T36" s="57" t="s">
        <v>280</v>
      </c>
      <c r="U36" s="64">
        <v>1</v>
      </c>
    </row>
    <row r="37" spans="1:21" x14ac:dyDescent="0.35">
      <c r="A37" s="57">
        <v>2021</v>
      </c>
      <c r="B37" s="57" t="s">
        <v>10</v>
      </c>
      <c r="C37" s="57" t="s">
        <v>45</v>
      </c>
      <c r="D37" s="57" t="s">
        <v>71</v>
      </c>
      <c r="E37" s="57" t="s">
        <v>150</v>
      </c>
      <c r="F37" s="57" t="s">
        <v>178</v>
      </c>
      <c r="G37" s="58">
        <v>20970</v>
      </c>
      <c r="H37" s="57" t="s">
        <v>179</v>
      </c>
      <c r="I37" s="57">
        <v>2018</v>
      </c>
      <c r="J37" s="57">
        <v>230000</v>
      </c>
      <c r="K37" s="57">
        <v>25000</v>
      </c>
      <c r="L37" s="57" t="s">
        <v>190</v>
      </c>
      <c r="M37" s="57" t="s">
        <v>200</v>
      </c>
      <c r="N37" s="57" t="s">
        <v>210</v>
      </c>
      <c r="O37" s="57" t="s">
        <v>255</v>
      </c>
      <c r="P37" s="57" t="s">
        <v>216</v>
      </c>
      <c r="Q37" s="57" t="s">
        <v>177</v>
      </c>
      <c r="R37" s="57" t="s">
        <v>196</v>
      </c>
      <c r="S37" s="58">
        <v>39980</v>
      </c>
      <c r="T37" s="57" t="s">
        <v>113</v>
      </c>
      <c r="U37" s="64">
        <v>1</v>
      </c>
    </row>
    <row r="38" spans="1:21" x14ac:dyDescent="0.35">
      <c r="A38" s="57">
        <v>2021</v>
      </c>
      <c r="B38" s="57" t="s">
        <v>9</v>
      </c>
      <c r="C38" s="57" t="s">
        <v>42</v>
      </c>
      <c r="D38" s="57" t="s">
        <v>70</v>
      </c>
      <c r="E38" s="57" t="s">
        <v>151</v>
      </c>
      <c r="F38" s="57" t="s">
        <v>178</v>
      </c>
      <c r="G38" s="58">
        <v>28894</v>
      </c>
      <c r="H38" s="57" t="s">
        <v>188</v>
      </c>
      <c r="I38" s="57">
        <v>2021</v>
      </c>
      <c r="J38" s="57">
        <v>230000</v>
      </c>
      <c r="K38" s="57">
        <v>20000</v>
      </c>
      <c r="L38" s="57" t="s">
        <v>190</v>
      </c>
      <c r="M38" s="57" t="s">
        <v>201</v>
      </c>
      <c r="N38" s="57" t="s">
        <v>209</v>
      </c>
      <c r="O38" s="57" t="s">
        <v>256</v>
      </c>
      <c r="P38" s="57" t="s">
        <v>213</v>
      </c>
      <c r="Q38" s="57" t="s">
        <v>177</v>
      </c>
      <c r="R38" s="57" t="s">
        <v>196</v>
      </c>
      <c r="S38" s="58">
        <v>40572</v>
      </c>
      <c r="T38" s="57" t="s">
        <v>281</v>
      </c>
      <c r="U38" s="64">
        <v>1</v>
      </c>
    </row>
    <row r="39" spans="1:21" x14ac:dyDescent="0.35">
      <c r="A39" s="57">
        <v>2018</v>
      </c>
      <c r="B39" s="57" t="s">
        <v>6</v>
      </c>
      <c r="C39" s="57" t="s">
        <v>28</v>
      </c>
      <c r="D39" s="57" t="s">
        <v>67</v>
      </c>
      <c r="E39" s="57" t="s">
        <v>152</v>
      </c>
      <c r="F39" s="57" t="s">
        <v>177</v>
      </c>
      <c r="G39" s="58">
        <v>22931</v>
      </c>
      <c r="H39" s="57" t="s">
        <v>182</v>
      </c>
      <c r="I39" s="57">
        <v>2018</v>
      </c>
      <c r="J39" s="57">
        <v>145000</v>
      </c>
      <c r="K39" s="57">
        <v>30000</v>
      </c>
      <c r="L39" s="57" t="s">
        <v>192</v>
      </c>
      <c r="M39" s="57" t="s">
        <v>202</v>
      </c>
      <c r="N39" s="57" t="s">
        <v>209</v>
      </c>
      <c r="O39" s="57" t="s">
        <v>257</v>
      </c>
      <c r="P39" s="57" t="s">
        <v>219</v>
      </c>
      <c r="Q39" s="57" t="s">
        <v>178</v>
      </c>
      <c r="R39" s="57" t="s">
        <v>196</v>
      </c>
      <c r="S39" s="58">
        <v>41831</v>
      </c>
      <c r="T39" s="57" t="s">
        <v>279</v>
      </c>
      <c r="U39" s="64">
        <v>1</v>
      </c>
    </row>
    <row r="40" spans="1:21" x14ac:dyDescent="0.35">
      <c r="A40" s="57">
        <v>2020</v>
      </c>
      <c r="B40" s="57" t="s">
        <v>6</v>
      </c>
      <c r="C40" s="57" t="s">
        <v>28</v>
      </c>
      <c r="D40" s="57" t="s">
        <v>66</v>
      </c>
      <c r="E40" s="57" t="s">
        <v>153</v>
      </c>
      <c r="F40" s="57" t="s">
        <v>177</v>
      </c>
      <c r="G40" s="58">
        <v>32236</v>
      </c>
      <c r="H40" s="57" t="s">
        <v>184</v>
      </c>
      <c r="I40" s="57">
        <v>2021</v>
      </c>
      <c r="J40" s="57">
        <v>175000</v>
      </c>
      <c r="K40" s="57">
        <v>10000</v>
      </c>
      <c r="L40" s="57" t="s">
        <v>190</v>
      </c>
      <c r="M40" s="57" t="s">
        <v>206</v>
      </c>
      <c r="N40" s="57" t="s">
        <v>211</v>
      </c>
      <c r="O40" s="57" t="s">
        <v>258</v>
      </c>
      <c r="P40" s="57" t="s">
        <v>223</v>
      </c>
      <c r="Q40" s="57" t="s">
        <v>177</v>
      </c>
      <c r="R40" s="57" t="s">
        <v>196</v>
      </c>
      <c r="S40" s="58">
        <v>43183</v>
      </c>
      <c r="T40" s="57" t="s">
        <v>282</v>
      </c>
      <c r="U40" s="64">
        <v>1</v>
      </c>
    </row>
    <row r="41" spans="1:21" x14ac:dyDescent="0.35">
      <c r="A41" s="57">
        <v>2019</v>
      </c>
      <c r="B41" s="57" t="s">
        <v>11</v>
      </c>
      <c r="C41" s="57" t="s">
        <v>46</v>
      </c>
      <c r="D41" s="57" t="s">
        <v>74</v>
      </c>
      <c r="E41" s="57" t="s">
        <v>151</v>
      </c>
      <c r="F41" s="57" t="s">
        <v>177</v>
      </c>
      <c r="G41" s="58">
        <v>35078</v>
      </c>
      <c r="H41" s="57" t="s">
        <v>186</v>
      </c>
      <c r="I41" s="57">
        <v>2022</v>
      </c>
      <c r="J41" s="57">
        <v>230000</v>
      </c>
      <c r="L41" s="57" t="s">
        <v>191</v>
      </c>
      <c r="M41" s="57" t="s">
        <v>195</v>
      </c>
      <c r="N41" s="57" t="s">
        <v>209</v>
      </c>
      <c r="O41" s="57" t="s">
        <v>259</v>
      </c>
      <c r="P41" s="57" t="s">
        <v>218</v>
      </c>
      <c r="Q41" s="57" t="s">
        <v>178</v>
      </c>
      <c r="R41" s="57" t="s">
        <v>196</v>
      </c>
      <c r="S41" s="58">
        <v>38997</v>
      </c>
      <c r="T41" s="57" t="s">
        <v>281</v>
      </c>
      <c r="U41" s="64">
        <v>1</v>
      </c>
    </row>
    <row r="42" spans="1:21" x14ac:dyDescent="0.35">
      <c r="A42" s="57">
        <v>2021</v>
      </c>
      <c r="B42" s="57" t="s">
        <v>5</v>
      </c>
      <c r="C42" s="57" t="s">
        <v>27</v>
      </c>
      <c r="D42" s="57" t="s">
        <v>69</v>
      </c>
      <c r="E42" s="57" t="s">
        <v>154</v>
      </c>
      <c r="F42" s="57" t="s">
        <v>178</v>
      </c>
      <c r="G42" s="58">
        <v>27580</v>
      </c>
      <c r="H42" s="57" t="s">
        <v>186</v>
      </c>
      <c r="I42" s="57">
        <v>2022</v>
      </c>
      <c r="J42" s="57">
        <v>80000</v>
      </c>
      <c r="K42" s="57">
        <v>15000</v>
      </c>
      <c r="L42" s="57" t="s">
        <v>193</v>
      </c>
      <c r="M42" s="57" t="s">
        <v>196</v>
      </c>
      <c r="N42" s="57" t="s">
        <v>212</v>
      </c>
      <c r="O42" s="57" t="s">
        <v>260</v>
      </c>
      <c r="P42" s="57" t="s">
        <v>215</v>
      </c>
      <c r="Q42" s="57" t="s">
        <v>177</v>
      </c>
      <c r="R42" s="57" t="s">
        <v>196</v>
      </c>
      <c r="S42" s="58">
        <v>43575</v>
      </c>
      <c r="T42" s="57" t="s">
        <v>113</v>
      </c>
      <c r="U42" s="64">
        <v>1</v>
      </c>
    </row>
    <row r="43" spans="1:21" x14ac:dyDescent="0.35">
      <c r="A43" s="57">
        <v>2019</v>
      </c>
      <c r="B43" s="57" t="s">
        <v>5</v>
      </c>
      <c r="C43" s="57" t="s">
        <v>27</v>
      </c>
      <c r="D43" s="57" t="s">
        <v>71</v>
      </c>
      <c r="E43" s="57" t="s">
        <v>155</v>
      </c>
      <c r="F43" s="57" t="s">
        <v>178</v>
      </c>
      <c r="G43" s="58">
        <v>19075</v>
      </c>
      <c r="H43" s="57" t="s">
        <v>189</v>
      </c>
      <c r="I43" s="57">
        <v>2019</v>
      </c>
      <c r="J43" s="57">
        <v>20000</v>
      </c>
      <c r="L43" s="57" t="s">
        <v>191</v>
      </c>
      <c r="M43" s="57" t="s">
        <v>197</v>
      </c>
      <c r="N43" s="57" t="s">
        <v>210</v>
      </c>
      <c r="O43" s="57" t="s">
        <v>261</v>
      </c>
      <c r="P43" s="57" t="s">
        <v>214</v>
      </c>
      <c r="Q43" s="57" t="s">
        <v>178</v>
      </c>
      <c r="R43" s="57" t="s">
        <v>197</v>
      </c>
      <c r="S43" s="58">
        <v>38323</v>
      </c>
      <c r="T43" s="57" t="s">
        <v>281</v>
      </c>
      <c r="U43" s="64">
        <v>1</v>
      </c>
    </row>
    <row r="44" spans="1:21" x14ac:dyDescent="0.35">
      <c r="A44" s="57">
        <v>2018</v>
      </c>
      <c r="B44" s="57" t="s">
        <v>2</v>
      </c>
      <c r="C44" s="57" t="s">
        <v>19</v>
      </c>
      <c r="D44" s="57" t="s">
        <v>61</v>
      </c>
      <c r="E44" s="57" t="s">
        <v>156</v>
      </c>
      <c r="F44" s="57" t="s">
        <v>177</v>
      </c>
      <c r="G44" s="58">
        <v>29839</v>
      </c>
      <c r="H44" s="57" t="s">
        <v>182</v>
      </c>
      <c r="I44" s="57">
        <v>2017</v>
      </c>
      <c r="J44" s="57">
        <v>125000</v>
      </c>
      <c r="K44" s="57">
        <v>20000</v>
      </c>
      <c r="L44" s="57" t="s">
        <v>190</v>
      </c>
      <c r="M44" s="57" t="s">
        <v>198</v>
      </c>
      <c r="N44" s="57" t="s">
        <v>211</v>
      </c>
      <c r="O44" s="57" t="s">
        <v>262</v>
      </c>
      <c r="P44" s="57" t="s">
        <v>216</v>
      </c>
      <c r="Q44" s="57" t="s">
        <v>177</v>
      </c>
      <c r="R44" s="57" t="s">
        <v>198</v>
      </c>
      <c r="S44" s="58">
        <v>42962</v>
      </c>
      <c r="T44" s="57" t="s">
        <v>279</v>
      </c>
      <c r="U44" s="64">
        <v>1</v>
      </c>
    </row>
    <row r="45" spans="1:21" x14ac:dyDescent="0.35">
      <c r="A45" s="57">
        <v>2020</v>
      </c>
      <c r="B45" s="57" t="s">
        <v>9</v>
      </c>
      <c r="C45" s="57" t="s">
        <v>42</v>
      </c>
      <c r="D45" s="57" t="s">
        <v>62</v>
      </c>
      <c r="E45" s="57" t="s">
        <v>122</v>
      </c>
      <c r="F45" s="57" t="s">
        <v>177</v>
      </c>
      <c r="G45" s="58">
        <v>23547</v>
      </c>
      <c r="H45" s="57" t="s">
        <v>179</v>
      </c>
      <c r="I45" s="57">
        <v>2020</v>
      </c>
      <c r="J45" s="57">
        <v>145000</v>
      </c>
      <c r="K45" s="57">
        <v>30000</v>
      </c>
      <c r="L45" s="57" t="s">
        <v>190</v>
      </c>
      <c r="M45" s="57" t="s">
        <v>199</v>
      </c>
      <c r="N45" s="57" t="s">
        <v>210</v>
      </c>
      <c r="O45" s="57" t="s">
        <v>263</v>
      </c>
      <c r="P45" s="57" t="s">
        <v>213</v>
      </c>
      <c r="Q45" s="57" t="s">
        <v>178</v>
      </c>
      <c r="R45" s="57" t="s">
        <v>199</v>
      </c>
      <c r="S45" s="58">
        <v>42152</v>
      </c>
      <c r="T45" s="57" t="s">
        <v>280</v>
      </c>
      <c r="U45" s="64">
        <v>1</v>
      </c>
    </row>
    <row r="46" spans="1:21" x14ac:dyDescent="0.35">
      <c r="A46" s="57">
        <v>2022</v>
      </c>
      <c r="B46" s="57" t="s">
        <v>77</v>
      </c>
      <c r="C46" s="57" t="s">
        <v>35</v>
      </c>
      <c r="D46" s="57" t="s">
        <v>67</v>
      </c>
      <c r="E46" s="57" t="s">
        <v>157</v>
      </c>
      <c r="F46" s="57" t="s">
        <v>178</v>
      </c>
      <c r="G46" s="58">
        <v>19670</v>
      </c>
      <c r="H46" s="57" t="s">
        <v>184</v>
      </c>
      <c r="I46" s="57">
        <v>2017</v>
      </c>
      <c r="J46" s="57">
        <v>230000</v>
      </c>
      <c r="K46" s="57">
        <v>25000</v>
      </c>
      <c r="L46" s="57" t="s">
        <v>190</v>
      </c>
      <c r="M46" s="57" t="s">
        <v>200</v>
      </c>
      <c r="N46" s="57" t="s">
        <v>210</v>
      </c>
      <c r="O46" s="57" t="s">
        <v>264</v>
      </c>
      <c r="P46" s="57" t="s">
        <v>217</v>
      </c>
      <c r="Q46" s="57" t="s">
        <v>177</v>
      </c>
      <c r="R46" s="57" t="s">
        <v>200</v>
      </c>
      <c r="S46" s="58">
        <v>42379</v>
      </c>
      <c r="T46" s="57" t="s">
        <v>280</v>
      </c>
      <c r="U46" s="64">
        <v>1</v>
      </c>
    </row>
    <row r="47" spans="1:21" x14ac:dyDescent="0.35">
      <c r="A47" s="57">
        <v>2021</v>
      </c>
      <c r="B47" s="57" t="s">
        <v>5</v>
      </c>
      <c r="C47" s="57" t="s">
        <v>27</v>
      </c>
      <c r="D47" s="57" t="s">
        <v>70</v>
      </c>
      <c r="E47" s="57" t="s">
        <v>158</v>
      </c>
      <c r="F47" s="57" t="s">
        <v>177</v>
      </c>
      <c r="G47" s="58">
        <v>34209</v>
      </c>
      <c r="H47" s="57" t="s">
        <v>181</v>
      </c>
      <c r="I47" s="57">
        <v>2022</v>
      </c>
      <c r="J47" s="57">
        <v>175000</v>
      </c>
      <c r="K47" s="57">
        <v>10000</v>
      </c>
      <c r="L47" s="57" t="s">
        <v>190</v>
      </c>
      <c r="M47" s="57" t="s">
        <v>201</v>
      </c>
      <c r="N47" s="57" t="s">
        <v>209</v>
      </c>
      <c r="O47" s="57" t="s">
        <v>260</v>
      </c>
      <c r="P47" s="57" t="s">
        <v>219</v>
      </c>
      <c r="Q47" s="57" t="s">
        <v>178</v>
      </c>
      <c r="R47" s="57" t="s">
        <v>201</v>
      </c>
      <c r="S47" s="58">
        <v>39651</v>
      </c>
      <c r="T47" s="57" t="s">
        <v>113</v>
      </c>
      <c r="U47" s="64">
        <v>1</v>
      </c>
    </row>
    <row r="48" spans="1:21" x14ac:dyDescent="0.35">
      <c r="A48" s="57">
        <v>2020</v>
      </c>
      <c r="B48" s="57" t="s">
        <v>6</v>
      </c>
      <c r="C48" s="57" t="s">
        <v>28</v>
      </c>
      <c r="D48" s="57" t="s">
        <v>74</v>
      </c>
      <c r="E48" s="57" t="s">
        <v>159</v>
      </c>
      <c r="F48" s="57" t="s">
        <v>178</v>
      </c>
      <c r="G48" s="58">
        <v>25908</v>
      </c>
      <c r="H48" s="57" t="s">
        <v>185</v>
      </c>
      <c r="I48" s="57">
        <v>2021</v>
      </c>
      <c r="J48" s="57">
        <v>230000</v>
      </c>
      <c r="L48" s="57" t="s">
        <v>190</v>
      </c>
      <c r="M48" s="57" t="s">
        <v>202</v>
      </c>
      <c r="N48" s="57" t="s">
        <v>212</v>
      </c>
      <c r="O48" s="57" t="s">
        <v>265</v>
      </c>
      <c r="P48" s="57" t="s">
        <v>218</v>
      </c>
      <c r="Q48" s="57" t="s">
        <v>177</v>
      </c>
      <c r="R48" s="57" t="s">
        <v>202</v>
      </c>
      <c r="S48" s="58">
        <v>44260</v>
      </c>
      <c r="T48" s="57" t="s">
        <v>281</v>
      </c>
      <c r="U48" s="64">
        <v>1</v>
      </c>
    </row>
    <row r="49" spans="1:21" x14ac:dyDescent="0.35">
      <c r="A49" s="57">
        <v>2019</v>
      </c>
      <c r="B49" s="57" t="s">
        <v>8</v>
      </c>
      <c r="C49" s="57" t="s">
        <v>118</v>
      </c>
      <c r="D49" s="57" t="s">
        <v>119</v>
      </c>
      <c r="E49" s="57" t="s">
        <v>160</v>
      </c>
      <c r="F49" s="57" t="s">
        <v>177</v>
      </c>
      <c r="G49" s="58">
        <v>30792</v>
      </c>
      <c r="H49" s="57" t="s">
        <v>186</v>
      </c>
      <c r="I49" s="57">
        <v>2022</v>
      </c>
      <c r="J49" s="57">
        <v>180000</v>
      </c>
      <c r="K49" s="57">
        <v>20000</v>
      </c>
      <c r="L49" s="57" t="s">
        <v>191</v>
      </c>
      <c r="M49" s="57" t="s">
        <v>207</v>
      </c>
      <c r="N49" s="57" t="s">
        <v>209</v>
      </c>
      <c r="O49" s="57" t="s">
        <v>266</v>
      </c>
      <c r="P49" s="57" t="s">
        <v>224</v>
      </c>
      <c r="Q49" s="57" t="s">
        <v>178</v>
      </c>
      <c r="R49" s="57" t="s">
        <v>207</v>
      </c>
      <c r="S49" s="58">
        <v>41535</v>
      </c>
      <c r="T49" s="57" t="s">
        <v>282</v>
      </c>
      <c r="U49" s="64">
        <v>1</v>
      </c>
    </row>
    <row r="50" spans="1:21" x14ac:dyDescent="0.35">
      <c r="A50" s="57">
        <v>2018</v>
      </c>
      <c r="B50" s="57" t="s">
        <v>1</v>
      </c>
      <c r="C50" s="57" t="s">
        <v>17</v>
      </c>
      <c r="D50" s="57" t="s">
        <v>71</v>
      </c>
      <c r="E50" s="57" t="s">
        <v>161</v>
      </c>
      <c r="F50" s="57" t="s">
        <v>178</v>
      </c>
      <c r="G50" s="58">
        <v>24118</v>
      </c>
      <c r="H50" s="57" t="s">
        <v>186</v>
      </c>
      <c r="I50" s="57">
        <v>2018</v>
      </c>
      <c r="J50" s="57">
        <v>95000</v>
      </c>
      <c r="K50" s="57">
        <v>10000</v>
      </c>
      <c r="L50" s="57" t="s">
        <v>191</v>
      </c>
      <c r="M50" s="57" t="s">
        <v>195</v>
      </c>
      <c r="N50" s="57" t="s">
        <v>209</v>
      </c>
      <c r="O50" s="57" t="s">
        <v>267</v>
      </c>
      <c r="P50" s="57" t="s">
        <v>214</v>
      </c>
      <c r="Q50" s="57" t="s">
        <v>177</v>
      </c>
      <c r="R50" s="57" t="s">
        <v>195</v>
      </c>
      <c r="S50" s="58">
        <v>41029</v>
      </c>
      <c r="T50" s="57" t="s">
        <v>279</v>
      </c>
      <c r="U50" s="64">
        <v>1</v>
      </c>
    </row>
    <row r="51" spans="1:21" x14ac:dyDescent="0.35">
      <c r="A51" s="57">
        <v>2019</v>
      </c>
      <c r="B51" s="57" t="s">
        <v>7</v>
      </c>
      <c r="C51" s="57" t="s">
        <v>30</v>
      </c>
      <c r="D51" s="57" t="s">
        <v>61</v>
      </c>
      <c r="E51" s="57" t="s">
        <v>151</v>
      </c>
      <c r="F51" s="57" t="s">
        <v>177</v>
      </c>
      <c r="G51" s="58">
        <v>36002</v>
      </c>
      <c r="H51" s="57" t="s">
        <v>181</v>
      </c>
      <c r="I51" s="57">
        <v>2019</v>
      </c>
      <c r="J51" s="57">
        <v>150000</v>
      </c>
      <c r="K51" s="57">
        <v>30000</v>
      </c>
      <c r="L51" s="57" t="s">
        <v>193</v>
      </c>
      <c r="M51" s="57" t="s">
        <v>196</v>
      </c>
      <c r="N51" s="57" t="s">
        <v>209</v>
      </c>
      <c r="O51" s="57" t="s">
        <v>268</v>
      </c>
      <c r="P51" s="57" t="s">
        <v>213</v>
      </c>
      <c r="Q51" s="57" t="s">
        <v>178</v>
      </c>
      <c r="R51" s="57" t="s">
        <v>196</v>
      </c>
      <c r="S51" s="58">
        <v>40464</v>
      </c>
      <c r="T51" s="57" t="s">
        <v>281</v>
      </c>
      <c r="U51" s="64">
        <v>1</v>
      </c>
    </row>
    <row r="52" spans="1:21" x14ac:dyDescent="0.35">
      <c r="A52" s="57">
        <v>2018</v>
      </c>
      <c r="B52" s="57" t="s">
        <v>10</v>
      </c>
      <c r="C52" s="57" t="s">
        <v>45</v>
      </c>
      <c r="D52" s="57" t="s">
        <v>63</v>
      </c>
      <c r="E52" s="57" t="s">
        <v>162</v>
      </c>
      <c r="F52" s="57" t="s">
        <v>178</v>
      </c>
      <c r="G52" s="58">
        <v>28991</v>
      </c>
      <c r="H52" s="57" t="s">
        <v>188</v>
      </c>
      <c r="I52" s="57">
        <v>2020</v>
      </c>
      <c r="J52" s="57">
        <v>45000</v>
      </c>
      <c r="K52" s="57">
        <v>25000</v>
      </c>
      <c r="L52" s="57" t="s">
        <v>191</v>
      </c>
      <c r="M52" s="57" t="s">
        <v>197</v>
      </c>
      <c r="N52" s="57" t="s">
        <v>211</v>
      </c>
      <c r="O52" s="57" t="s">
        <v>269</v>
      </c>
      <c r="P52" s="57" t="s">
        <v>215</v>
      </c>
      <c r="Q52" s="57" t="s">
        <v>177</v>
      </c>
      <c r="R52" s="57" t="s">
        <v>197</v>
      </c>
      <c r="S52" s="58">
        <v>39259</v>
      </c>
      <c r="T52" s="57" t="s">
        <v>113</v>
      </c>
      <c r="U52" s="64">
        <v>1</v>
      </c>
    </row>
    <row r="53" spans="1:21" x14ac:dyDescent="0.35">
      <c r="A53" s="57">
        <v>2022</v>
      </c>
      <c r="B53" s="57" t="s">
        <v>9</v>
      </c>
      <c r="C53" s="57" t="s">
        <v>42</v>
      </c>
      <c r="D53" s="57" t="s">
        <v>65</v>
      </c>
      <c r="E53" s="57" t="s">
        <v>163</v>
      </c>
      <c r="F53" s="57" t="s">
        <v>177</v>
      </c>
      <c r="G53" s="58">
        <v>18689</v>
      </c>
      <c r="H53" s="57" t="s">
        <v>180</v>
      </c>
      <c r="I53" s="57">
        <v>2017</v>
      </c>
      <c r="J53" s="57">
        <v>230000</v>
      </c>
      <c r="L53" s="57" t="s">
        <v>190</v>
      </c>
      <c r="M53" s="57" t="s">
        <v>198</v>
      </c>
      <c r="N53" s="57" t="s">
        <v>211</v>
      </c>
      <c r="O53" s="57" t="s">
        <v>270</v>
      </c>
      <c r="P53" s="57" t="s">
        <v>216</v>
      </c>
      <c r="Q53" s="57" t="s">
        <v>178</v>
      </c>
      <c r="R53" s="57" t="s">
        <v>198</v>
      </c>
      <c r="S53" s="58">
        <v>41648</v>
      </c>
      <c r="T53" s="57" t="s">
        <v>279</v>
      </c>
      <c r="U53" s="64">
        <v>1</v>
      </c>
    </row>
    <row r="54" spans="1:21" x14ac:dyDescent="0.35">
      <c r="A54" s="57">
        <v>2020</v>
      </c>
      <c r="B54" s="57" t="s">
        <v>4</v>
      </c>
      <c r="C54" s="57" t="s">
        <v>117</v>
      </c>
      <c r="D54" s="57" t="s">
        <v>73</v>
      </c>
      <c r="E54" s="57" t="s">
        <v>164</v>
      </c>
      <c r="F54" s="57" t="s">
        <v>178</v>
      </c>
      <c r="G54" s="58">
        <v>32065</v>
      </c>
      <c r="H54" s="57" t="s">
        <v>186</v>
      </c>
      <c r="I54" s="57">
        <v>2022</v>
      </c>
      <c r="J54" s="57">
        <v>145000</v>
      </c>
      <c r="K54" s="57">
        <v>15000</v>
      </c>
      <c r="L54" s="57" t="s">
        <v>190</v>
      </c>
      <c r="M54" s="57" t="s">
        <v>199</v>
      </c>
      <c r="N54" s="57" t="s">
        <v>209</v>
      </c>
      <c r="O54" s="57" t="s">
        <v>175</v>
      </c>
      <c r="P54" s="57" t="s">
        <v>217</v>
      </c>
      <c r="Q54" s="57" t="s">
        <v>177</v>
      </c>
      <c r="R54" s="57" t="s">
        <v>199</v>
      </c>
      <c r="S54" s="58">
        <v>43425</v>
      </c>
      <c r="T54" s="57" t="s">
        <v>281</v>
      </c>
      <c r="U54" s="64">
        <v>1</v>
      </c>
    </row>
    <row r="55" spans="1:21" x14ac:dyDescent="0.35">
      <c r="A55" s="57">
        <v>2021</v>
      </c>
      <c r="B55" s="57" t="s">
        <v>7</v>
      </c>
      <c r="C55" s="57" t="s">
        <v>30</v>
      </c>
      <c r="D55" s="57" t="s">
        <v>64</v>
      </c>
      <c r="E55" s="57" t="s">
        <v>151</v>
      </c>
      <c r="F55" s="57" t="s">
        <v>178</v>
      </c>
      <c r="G55" s="58">
        <v>25450</v>
      </c>
      <c r="H55" s="57" t="s">
        <v>184</v>
      </c>
      <c r="I55" s="57">
        <v>2021</v>
      </c>
      <c r="J55" s="57">
        <v>230000</v>
      </c>
      <c r="K55" s="57">
        <v>20000</v>
      </c>
      <c r="L55" s="57" t="s">
        <v>191</v>
      </c>
      <c r="M55" s="57" t="s">
        <v>200</v>
      </c>
      <c r="N55" s="57" t="s">
        <v>212</v>
      </c>
      <c r="O55" s="57" t="s">
        <v>271</v>
      </c>
      <c r="P55" s="57" t="s">
        <v>219</v>
      </c>
      <c r="Q55" s="57" t="s">
        <v>178</v>
      </c>
      <c r="R55" s="57" t="s">
        <v>200</v>
      </c>
      <c r="S55" s="58">
        <v>38841</v>
      </c>
      <c r="T55" s="57" t="s">
        <v>281</v>
      </c>
      <c r="U55" s="64">
        <v>1</v>
      </c>
    </row>
    <row r="56" spans="1:21" x14ac:dyDescent="0.35">
      <c r="A56" s="57">
        <v>2019</v>
      </c>
      <c r="B56" s="57" t="s">
        <v>77</v>
      </c>
      <c r="C56" s="57" t="s">
        <v>35</v>
      </c>
      <c r="D56" s="57" t="s">
        <v>65</v>
      </c>
      <c r="E56" s="57" t="s">
        <v>165</v>
      </c>
      <c r="F56" s="57" t="s">
        <v>177</v>
      </c>
      <c r="G56" s="58">
        <v>30125</v>
      </c>
      <c r="H56" s="57" t="s">
        <v>186</v>
      </c>
      <c r="I56" s="57">
        <v>2017</v>
      </c>
      <c r="J56" s="57">
        <v>20000</v>
      </c>
      <c r="K56" s="57">
        <v>30000</v>
      </c>
      <c r="L56" s="57" t="s">
        <v>191</v>
      </c>
      <c r="M56" s="57" t="s">
        <v>201</v>
      </c>
      <c r="N56" s="57" t="s">
        <v>209</v>
      </c>
      <c r="O56" s="57" t="s">
        <v>272</v>
      </c>
      <c r="P56" s="57" t="s">
        <v>220</v>
      </c>
      <c r="Q56" s="57" t="s">
        <v>177</v>
      </c>
      <c r="R56" s="57" t="s">
        <v>201</v>
      </c>
      <c r="S56" s="58">
        <v>40894</v>
      </c>
      <c r="T56" s="57" t="s">
        <v>280</v>
      </c>
      <c r="U56" s="64">
        <v>1</v>
      </c>
    </row>
    <row r="57" spans="1:21" x14ac:dyDescent="0.35">
      <c r="A57" s="57">
        <v>2018</v>
      </c>
      <c r="B57" s="57" t="s">
        <v>8</v>
      </c>
      <c r="C57" s="57" t="s">
        <v>118</v>
      </c>
      <c r="D57" s="57" t="s">
        <v>74</v>
      </c>
      <c r="E57" s="57" t="s">
        <v>166</v>
      </c>
      <c r="F57" s="57" t="s">
        <v>178</v>
      </c>
      <c r="G57" s="58">
        <v>20440</v>
      </c>
      <c r="H57" s="57" t="s">
        <v>182</v>
      </c>
      <c r="I57" s="57">
        <v>2021</v>
      </c>
      <c r="J57" s="57">
        <v>230000</v>
      </c>
      <c r="K57" s="57">
        <v>10000</v>
      </c>
      <c r="L57" s="57" t="s">
        <v>192</v>
      </c>
      <c r="M57" s="57" t="s">
        <v>202</v>
      </c>
      <c r="N57" s="57" t="s">
        <v>210</v>
      </c>
      <c r="O57" s="57" t="s">
        <v>273</v>
      </c>
      <c r="P57" s="57" t="s">
        <v>218</v>
      </c>
      <c r="Q57" s="57" t="s">
        <v>178</v>
      </c>
      <c r="R57" s="57" t="s">
        <v>202</v>
      </c>
      <c r="S57" s="58">
        <v>40054</v>
      </c>
      <c r="T57" s="57" t="s">
        <v>113</v>
      </c>
      <c r="U57" s="64">
        <v>1</v>
      </c>
    </row>
    <row r="58" spans="1:21" x14ac:dyDescent="0.35">
      <c r="A58" s="57">
        <v>2018</v>
      </c>
      <c r="B58" s="57" t="s">
        <v>2</v>
      </c>
      <c r="C58" s="57" t="s">
        <v>19</v>
      </c>
      <c r="D58" s="57" t="s">
        <v>69</v>
      </c>
      <c r="E58" s="57" t="s">
        <v>167</v>
      </c>
      <c r="F58" s="57" t="s">
        <v>178</v>
      </c>
      <c r="G58" s="58">
        <v>28711</v>
      </c>
      <c r="H58" s="57" t="s">
        <v>186</v>
      </c>
      <c r="I58" s="57">
        <v>2017</v>
      </c>
      <c r="J58" s="57">
        <v>175000</v>
      </c>
      <c r="L58" s="57" t="s">
        <v>190</v>
      </c>
      <c r="M58" s="57" t="s">
        <v>208</v>
      </c>
      <c r="N58" s="57" t="s">
        <v>210</v>
      </c>
      <c r="O58" s="57" t="s">
        <v>274</v>
      </c>
      <c r="P58" s="57" t="s">
        <v>214</v>
      </c>
      <c r="Q58" s="57" t="s">
        <v>177</v>
      </c>
      <c r="R58" s="57" t="s">
        <v>208</v>
      </c>
      <c r="S58" s="58">
        <v>42105</v>
      </c>
      <c r="T58" s="57" t="s">
        <v>281</v>
      </c>
      <c r="U58" s="64">
        <v>1</v>
      </c>
    </row>
    <row r="59" spans="1:21" x14ac:dyDescent="0.35">
      <c r="A59" s="57">
        <v>2020</v>
      </c>
      <c r="B59" s="57" t="s">
        <v>11</v>
      </c>
      <c r="C59" s="57" t="s">
        <v>46</v>
      </c>
      <c r="D59" s="57" t="s">
        <v>73</v>
      </c>
      <c r="E59" s="57" t="s">
        <v>168</v>
      </c>
      <c r="F59" s="57" t="s">
        <v>178</v>
      </c>
      <c r="G59" s="58">
        <v>32990</v>
      </c>
      <c r="H59" s="57" t="s">
        <v>179</v>
      </c>
      <c r="I59" s="57">
        <v>2018</v>
      </c>
      <c r="J59" s="57">
        <v>120000</v>
      </c>
      <c r="K59" s="57">
        <v>25000</v>
      </c>
      <c r="L59" s="57" t="s">
        <v>191</v>
      </c>
      <c r="M59" s="57" t="s">
        <v>195</v>
      </c>
      <c r="N59" s="57" t="s">
        <v>209</v>
      </c>
      <c r="O59" s="57" t="s">
        <v>275</v>
      </c>
      <c r="P59" s="57" t="s">
        <v>213</v>
      </c>
      <c r="Q59" s="57" t="s">
        <v>178</v>
      </c>
      <c r="R59" s="57" t="s">
        <v>195</v>
      </c>
      <c r="S59" s="58">
        <v>43032</v>
      </c>
      <c r="T59" s="57" t="s">
        <v>282</v>
      </c>
      <c r="U59" s="64">
        <v>1</v>
      </c>
    </row>
    <row r="60" spans="1:21" x14ac:dyDescent="0.35">
      <c r="A60" s="57">
        <v>2018</v>
      </c>
      <c r="B60" s="57" t="s">
        <v>8</v>
      </c>
      <c r="C60" s="57" t="s">
        <v>118</v>
      </c>
      <c r="D60" s="57" t="s">
        <v>66</v>
      </c>
      <c r="E60" s="57" t="s">
        <v>151</v>
      </c>
      <c r="F60" s="57" t="s">
        <v>178</v>
      </c>
      <c r="G60" s="58">
        <v>23336</v>
      </c>
      <c r="H60" s="57" t="s">
        <v>181</v>
      </c>
      <c r="I60" s="57">
        <v>2019</v>
      </c>
      <c r="J60" s="57">
        <v>230000</v>
      </c>
      <c r="K60" s="57">
        <v>10000</v>
      </c>
      <c r="L60" s="57" t="s">
        <v>193</v>
      </c>
      <c r="M60" s="57" t="s">
        <v>196</v>
      </c>
      <c r="N60" s="57" t="s">
        <v>210</v>
      </c>
      <c r="O60" s="57" t="s">
        <v>276</v>
      </c>
      <c r="P60" s="57" t="s">
        <v>216</v>
      </c>
      <c r="Q60" s="57" t="s">
        <v>177</v>
      </c>
      <c r="R60" s="57" t="s">
        <v>196</v>
      </c>
      <c r="S60" s="58">
        <v>38023</v>
      </c>
      <c r="T60" s="57" t="s">
        <v>281</v>
      </c>
      <c r="U60" s="64">
        <v>1</v>
      </c>
    </row>
    <row r="61" spans="1:21" x14ac:dyDescent="0.35">
      <c r="A61" s="57">
        <v>2019</v>
      </c>
      <c r="B61" s="57" t="s">
        <v>8</v>
      </c>
      <c r="C61" s="57" t="s">
        <v>118</v>
      </c>
      <c r="D61" s="57" t="s">
        <v>119</v>
      </c>
      <c r="E61" s="57" t="s">
        <v>169</v>
      </c>
      <c r="F61" s="57" t="s">
        <v>177</v>
      </c>
      <c r="G61" s="58">
        <v>31231</v>
      </c>
      <c r="H61" s="57" t="s">
        <v>180</v>
      </c>
      <c r="I61" s="57">
        <v>2018</v>
      </c>
      <c r="J61" s="57">
        <v>125000</v>
      </c>
      <c r="K61" s="57">
        <v>20000</v>
      </c>
      <c r="L61" s="57" t="s">
        <v>191</v>
      </c>
      <c r="M61" s="57" t="s">
        <v>197</v>
      </c>
      <c r="N61" s="57" t="s">
        <v>209</v>
      </c>
      <c r="O61" s="57" t="s">
        <v>172</v>
      </c>
      <c r="P61" s="57" t="s">
        <v>222</v>
      </c>
      <c r="Q61" s="57" t="s">
        <v>178</v>
      </c>
      <c r="R61" s="57" t="s">
        <v>197</v>
      </c>
      <c r="S61" s="58">
        <v>38614</v>
      </c>
      <c r="T61" s="57" t="s">
        <v>280</v>
      </c>
      <c r="U61" s="64">
        <v>1</v>
      </c>
    </row>
    <row r="62" spans="1:21" x14ac:dyDescent="0.35">
      <c r="A62" s="57">
        <v>2022</v>
      </c>
      <c r="B62" s="57" t="s">
        <v>1</v>
      </c>
      <c r="C62" s="57" t="s">
        <v>17</v>
      </c>
      <c r="D62" s="57" t="s">
        <v>67</v>
      </c>
      <c r="E62" s="57" t="s">
        <v>151</v>
      </c>
      <c r="F62" s="57" t="s">
        <v>178</v>
      </c>
      <c r="G62" s="58">
        <v>19767</v>
      </c>
      <c r="H62" s="57" t="s">
        <v>187</v>
      </c>
      <c r="I62" s="57">
        <v>2019</v>
      </c>
      <c r="J62" s="57">
        <v>230000</v>
      </c>
      <c r="L62" s="57" t="s">
        <v>193</v>
      </c>
      <c r="M62" s="57" t="s">
        <v>198</v>
      </c>
      <c r="N62" s="57" t="s">
        <v>209</v>
      </c>
      <c r="O62" s="57" t="s">
        <v>277</v>
      </c>
      <c r="P62" s="57" t="s">
        <v>215</v>
      </c>
      <c r="Q62" s="57" t="s">
        <v>177</v>
      </c>
      <c r="R62" s="57" t="s">
        <v>198</v>
      </c>
      <c r="S62" s="58">
        <v>41457</v>
      </c>
      <c r="T62" s="57" t="s">
        <v>281</v>
      </c>
      <c r="U62" s="64">
        <v>1</v>
      </c>
    </row>
    <row r="63" spans="1:21" x14ac:dyDescent="0.35">
      <c r="A63" s="57">
        <v>2021</v>
      </c>
      <c r="B63" s="57" t="s">
        <v>6</v>
      </c>
      <c r="C63" s="57" t="s">
        <v>28</v>
      </c>
      <c r="D63" s="57" t="s">
        <v>71</v>
      </c>
      <c r="E63" s="57" t="s">
        <v>170</v>
      </c>
      <c r="F63" s="57" t="s">
        <v>178</v>
      </c>
      <c r="G63" s="58">
        <v>26201</v>
      </c>
      <c r="H63" s="57" t="s">
        <v>186</v>
      </c>
      <c r="I63" s="57">
        <v>2021</v>
      </c>
      <c r="J63" s="57">
        <v>145000</v>
      </c>
      <c r="K63" s="57">
        <v>15000</v>
      </c>
      <c r="L63" s="57" t="s">
        <v>191</v>
      </c>
      <c r="M63" s="57" t="s">
        <v>199</v>
      </c>
      <c r="N63" s="57" t="s">
        <v>211</v>
      </c>
      <c r="O63" s="57" t="s">
        <v>278</v>
      </c>
      <c r="P63" s="57" t="s">
        <v>219</v>
      </c>
      <c r="Q63" s="57" t="s">
        <v>178</v>
      </c>
      <c r="R63" s="57" t="s">
        <v>199</v>
      </c>
      <c r="S63" s="58">
        <v>40193</v>
      </c>
      <c r="T63" s="57" t="s">
        <v>281</v>
      </c>
      <c r="U63" s="64">
        <v>1</v>
      </c>
    </row>
    <row r="64" spans="1:21" x14ac:dyDescent="0.35">
      <c r="A64" s="57">
        <v>2018</v>
      </c>
      <c r="B64" s="57" t="s">
        <v>2</v>
      </c>
      <c r="C64" s="57" t="s">
        <v>19</v>
      </c>
      <c r="D64" s="57" t="s">
        <v>65</v>
      </c>
      <c r="E64" s="57" t="s">
        <v>171</v>
      </c>
      <c r="F64" s="57" t="s">
        <v>177</v>
      </c>
      <c r="G64" s="58">
        <v>33763</v>
      </c>
      <c r="H64" s="57" t="s">
        <v>184</v>
      </c>
      <c r="I64" s="57">
        <v>2020</v>
      </c>
      <c r="J64" s="57">
        <v>175000</v>
      </c>
      <c r="K64" s="57">
        <v>30000</v>
      </c>
      <c r="L64" s="57" t="s">
        <v>190</v>
      </c>
      <c r="M64" s="57" t="s">
        <v>200</v>
      </c>
      <c r="N64" s="57" t="s">
        <v>209</v>
      </c>
      <c r="O64" s="57" t="s">
        <v>225</v>
      </c>
      <c r="P64" s="57" t="s">
        <v>218</v>
      </c>
      <c r="Q64" s="57" t="s">
        <v>178</v>
      </c>
      <c r="R64" s="57" t="s">
        <v>200</v>
      </c>
      <c r="S64" s="58">
        <v>42579</v>
      </c>
      <c r="T64" s="57" t="s">
        <v>279</v>
      </c>
      <c r="U64" s="64">
        <v>1</v>
      </c>
    </row>
    <row r="65" spans="7:19" x14ac:dyDescent="0.35">
      <c r="G65" s="58"/>
      <c r="S65" s="58"/>
    </row>
    <row r="66" spans="7:19" x14ac:dyDescent="0.35">
      <c r="G66" s="58"/>
      <c r="S66" s="58"/>
    </row>
    <row r="67" spans="7:19" x14ac:dyDescent="0.35">
      <c r="G67" s="58"/>
      <c r="S67" s="58"/>
    </row>
    <row r="68" spans="7:19" x14ac:dyDescent="0.35">
      <c r="G68" s="58"/>
      <c r="S68" s="58"/>
    </row>
    <row r="69" spans="7:19" x14ac:dyDescent="0.35">
      <c r="G69" s="58"/>
      <c r="S69" s="58"/>
    </row>
  </sheetData>
  <conditionalFormatting sqref="A1:A1048576">
    <cfRule type="iconSet" priority="65">
      <iconSet iconSet="5Quarters">
        <cfvo type="percent" val="0"/>
        <cfvo type="num" val="2019"/>
        <cfvo type="num" val="2020"/>
        <cfvo type="num" val="2021"/>
        <cfvo type="num" val="2022"/>
      </iconSet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0" tint="-0.14999847407452621"/>
  </sheetPr>
  <dimension ref="A1:AA65"/>
  <sheetViews>
    <sheetView showGridLines="0" showRowColHeaders="0" tabSelected="1" zoomScale="99" zoomScaleNormal="99" workbookViewId="0">
      <pane xSplit="1" ySplit="5" topLeftCell="B6" activePane="bottomRight" state="frozen"/>
      <selection pane="topRight" activeCell="B1" sqref="B1"/>
      <selection pane="bottomLeft" activeCell="A3" sqref="A3"/>
      <selection pane="bottomRight" sqref="A1:XFD1048576"/>
    </sheetView>
  </sheetViews>
  <sheetFormatPr baseColWidth="10" defaultRowHeight="14.5" x14ac:dyDescent="0.35"/>
  <cols>
    <col min="1" max="1" width="16.90625" style="70" customWidth="1"/>
    <col min="2" max="2" width="15" style="70" bestFit="1" customWidth="1"/>
    <col min="3" max="3" width="34.7265625" style="70" bestFit="1" customWidth="1"/>
    <col min="4" max="4" width="32.453125" style="70" bestFit="1" customWidth="1"/>
    <col min="5" max="5" width="21.54296875" style="70" bestFit="1" customWidth="1"/>
    <col min="6" max="6" width="32.54296875" style="70" bestFit="1" customWidth="1"/>
    <col min="7" max="8" width="18.81640625" style="70" customWidth="1"/>
    <col min="9" max="9" width="18.90625" style="104" bestFit="1" customWidth="1"/>
    <col min="10" max="10" width="24.81640625" style="104" customWidth="1"/>
    <col min="11" max="11" width="29" style="104" customWidth="1"/>
    <col min="12" max="12" width="29" style="70" customWidth="1"/>
    <col min="13" max="13" width="10.90625" style="74"/>
    <col min="14" max="20" width="10.90625" style="70"/>
    <col min="21" max="21" width="17.54296875" style="70" bestFit="1" customWidth="1"/>
    <col min="22" max="22" width="16.90625" style="70" bestFit="1" customWidth="1"/>
    <col min="23" max="23" width="10.90625" style="70"/>
    <col min="24" max="24" width="15" style="70" bestFit="1" customWidth="1"/>
    <col min="25" max="25" width="24.36328125" style="70" bestFit="1" customWidth="1"/>
    <col min="26" max="26" width="28.7265625" style="70" bestFit="1" customWidth="1"/>
    <col min="27" max="16384" width="10.90625" style="70"/>
  </cols>
  <sheetData>
    <row r="1" spans="1:27" s="69" customFormat="1" ht="87" customHeight="1" x14ac:dyDescent="0.35">
      <c r="I1" s="100"/>
      <c r="J1" s="100"/>
      <c r="K1" s="100"/>
      <c r="M1" s="75"/>
    </row>
    <row r="2" spans="1:27" s="69" customFormat="1" ht="15" customHeight="1" x14ac:dyDescent="0.35">
      <c r="F2" s="72" t="s">
        <v>84</v>
      </c>
      <c r="I2" s="100"/>
      <c r="J2" s="100"/>
      <c r="K2" s="100"/>
      <c r="M2" s="75"/>
    </row>
    <row r="3" spans="1:27" s="69" customFormat="1" ht="15" customHeight="1" x14ac:dyDescent="0.35">
      <c r="F3" s="69" t="s">
        <v>115</v>
      </c>
      <c r="I3" s="100"/>
      <c r="J3" s="100"/>
      <c r="K3" s="100"/>
      <c r="M3" s="75"/>
    </row>
    <row r="4" spans="1:27" s="69" customFormat="1" x14ac:dyDescent="0.35">
      <c r="I4" s="100"/>
      <c r="J4" s="100"/>
      <c r="K4" s="100"/>
      <c r="M4" s="75"/>
    </row>
    <row r="5" spans="1:27" s="71" customFormat="1" ht="15.5" x14ac:dyDescent="0.35">
      <c r="A5" s="72" t="s">
        <v>104</v>
      </c>
      <c r="B5" s="72" t="s">
        <v>100</v>
      </c>
      <c r="C5" s="72" t="s">
        <v>84</v>
      </c>
      <c r="D5" s="72" t="s">
        <v>85</v>
      </c>
      <c r="E5" s="72" t="s">
        <v>109</v>
      </c>
      <c r="F5" s="73" t="s">
        <v>110</v>
      </c>
      <c r="G5" s="72" t="s">
        <v>105</v>
      </c>
      <c r="H5" s="76" t="s">
        <v>111</v>
      </c>
      <c r="I5" s="101" t="s">
        <v>106</v>
      </c>
      <c r="J5" s="101" t="s">
        <v>107</v>
      </c>
      <c r="K5" s="101" t="s">
        <v>108</v>
      </c>
      <c r="L5" s="98" t="s">
        <v>112</v>
      </c>
      <c r="M5" s="75">
        <v>0</v>
      </c>
      <c r="P5" s="72" t="s">
        <v>104</v>
      </c>
      <c r="Q5" s="72" t="s">
        <v>100</v>
      </c>
      <c r="R5" s="72" t="s">
        <v>84</v>
      </c>
      <c r="S5" s="72" t="s">
        <v>85</v>
      </c>
      <c r="T5" s="72" t="s">
        <v>109</v>
      </c>
      <c r="U5" s="73" t="s">
        <v>110</v>
      </c>
      <c r="V5" s="72" t="s">
        <v>105</v>
      </c>
      <c r="W5" s="76" t="s">
        <v>111</v>
      </c>
      <c r="X5" s="101" t="s">
        <v>106</v>
      </c>
      <c r="Y5" s="101" t="s">
        <v>107</v>
      </c>
      <c r="Z5" s="101" t="s">
        <v>108</v>
      </c>
      <c r="AA5" s="98" t="s">
        <v>112</v>
      </c>
    </row>
    <row r="6" spans="1:27" s="71" customFormat="1" ht="15.5" x14ac:dyDescent="0.35">
      <c r="A6" s="97">
        <v>2018</v>
      </c>
      <c r="B6" s="97" t="s">
        <v>120</v>
      </c>
      <c r="C6" s="97" t="s">
        <v>283</v>
      </c>
      <c r="D6" s="97" t="s">
        <v>348</v>
      </c>
      <c r="E6" s="97" t="s">
        <v>289</v>
      </c>
      <c r="F6" s="99">
        <v>38426</v>
      </c>
      <c r="G6" s="99">
        <v>38671</v>
      </c>
      <c r="H6" s="97"/>
      <c r="I6" s="102">
        <v>2850000</v>
      </c>
      <c r="J6" s="102">
        <v>712500</v>
      </c>
      <c r="K6" s="102">
        <f>dtbasepres[[#This Row],[Cout global ]]-dtbasepres[[#This Row],[Cout payé par la mutuelle ]]</f>
        <v>2137500</v>
      </c>
      <c r="L6" s="97" t="s">
        <v>113</v>
      </c>
      <c r="M6" s="75"/>
      <c r="P6" s="97">
        <v>2021</v>
      </c>
      <c r="Q6" s="97" t="s">
        <v>125</v>
      </c>
      <c r="R6" s="97" t="s">
        <v>115</v>
      </c>
      <c r="S6" s="97" t="s">
        <v>353</v>
      </c>
      <c r="T6" s="97" t="s">
        <v>294</v>
      </c>
      <c r="U6" s="99">
        <v>40508</v>
      </c>
      <c r="V6" s="99">
        <v>40750</v>
      </c>
      <c r="W6" s="97">
        <v>5</v>
      </c>
      <c r="X6" s="102">
        <v>2850000</v>
      </c>
      <c r="Y6" s="102">
        <v>712500</v>
      </c>
      <c r="Z6" s="102">
        <v>2137500</v>
      </c>
      <c r="AA6" s="97" t="s">
        <v>280</v>
      </c>
    </row>
    <row r="7" spans="1:27" s="71" customFormat="1" ht="15.5" x14ac:dyDescent="0.35">
      <c r="A7" s="97">
        <v>2019</v>
      </c>
      <c r="B7" s="97" t="s">
        <v>121</v>
      </c>
      <c r="C7" s="97" t="s">
        <v>284</v>
      </c>
      <c r="D7" s="97" t="s">
        <v>349</v>
      </c>
      <c r="E7" s="97" t="s">
        <v>290</v>
      </c>
      <c r="F7" s="99">
        <v>38988</v>
      </c>
      <c r="G7" s="99">
        <v>39230</v>
      </c>
      <c r="H7" s="97"/>
      <c r="I7" s="102">
        <v>1600000</v>
      </c>
      <c r="J7" s="102">
        <v>400000</v>
      </c>
      <c r="K7" s="102">
        <f>dtbasepres[[#This Row],[Cout global ]]-dtbasepres[[#This Row],[Cout payé par la mutuelle ]]</f>
        <v>1200000</v>
      </c>
      <c r="L7" s="97" t="s">
        <v>279</v>
      </c>
      <c r="M7" s="75"/>
      <c r="P7" s="76">
        <v>2022</v>
      </c>
      <c r="Q7" s="76" t="s">
        <v>130</v>
      </c>
      <c r="R7" s="76" t="s">
        <v>115</v>
      </c>
      <c r="S7" s="76" t="s">
        <v>349</v>
      </c>
      <c r="T7" s="76" t="s">
        <v>300</v>
      </c>
      <c r="U7" s="77">
        <v>42434</v>
      </c>
      <c r="V7" s="77">
        <v>42679</v>
      </c>
      <c r="W7" s="76">
        <v>6</v>
      </c>
      <c r="X7" s="103">
        <v>3250000</v>
      </c>
      <c r="Y7" s="103">
        <v>812500</v>
      </c>
      <c r="Z7" s="103">
        <v>2437500</v>
      </c>
      <c r="AA7" s="76" t="s">
        <v>280</v>
      </c>
    </row>
    <row r="8" spans="1:27" s="71" customFormat="1" ht="15.5" x14ac:dyDescent="0.35">
      <c r="A8" s="97">
        <v>2020</v>
      </c>
      <c r="B8" s="97" t="s">
        <v>122</v>
      </c>
      <c r="C8" s="97" t="s">
        <v>114</v>
      </c>
      <c r="D8" s="97" t="s">
        <v>350</v>
      </c>
      <c r="E8" s="97" t="s">
        <v>291</v>
      </c>
      <c r="F8" s="99">
        <v>39426</v>
      </c>
      <c r="G8" s="99">
        <v>39670</v>
      </c>
      <c r="H8" s="97"/>
      <c r="I8" s="102">
        <v>3650000</v>
      </c>
      <c r="J8" s="102">
        <v>912500</v>
      </c>
      <c r="K8" s="102">
        <f>dtbasepres[[#This Row],[Cout global ]]-dtbasepres[[#This Row],[Cout payé par la mutuelle ]]</f>
        <v>2737500</v>
      </c>
      <c r="L8" s="97" t="s">
        <v>280</v>
      </c>
      <c r="M8" s="75"/>
      <c r="P8" s="76">
        <v>2020</v>
      </c>
      <c r="Q8" s="76" t="s">
        <v>140</v>
      </c>
      <c r="R8" s="76" t="s">
        <v>115</v>
      </c>
      <c r="S8" s="76" t="s">
        <v>348</v>
      </c>
      <c r="T8" s="76" t="s">
        <v>310</v>
      </c>
      <c r="U8" s="77">
        <v>40382</v>
      </c>
      <c r="V8" s="77">
        <v>40991</v>
      </c>
      <c r="W8" s="76">
        <v>7</v>
      </c>
      <c r="X8" s="103">
        <v>3300000</v>
      </c>
      <c r="Y8" s="103">
        <v>825000</v>
      </c>
      <c r="Z8" s="103">
        <v>2475000</v>
      </c>
      <c r="AA8" s="76" t="s">
        <v>280</v>
      </c>
    </row>
    <row r="9" spans="1:27" s="71" customFormat="1" ht="15.5" x14ac:dyDescent="0.35">
      <c r="A9" s="97">
        <v>2018</v>
      </c>
      <c r="B9" s="97" t="s">
        <v>123</v>
      </c>
      <c r="C9" s="97" t="s">
        <v>285</v>
      </c>
      <c r="D9" s="97" t="s">
        <v>351</v>
      </c>
      <c r="E9" s="97" t="s">
        <v>292</v>
      </c>
      <c r="F9" s="99">
        <v>39589</v>
      </c>
      <c r="G9" s="99">
        <v>39834</v>
      </c>
      <c r="H9" s="97"/>
      <c r="I9" s="102">
        <v>2400000</v>
      </c>
      <c r="J9" s="102">
        <v>600000</v>
      </c>
      <c r="K9" s="102">
        <f>dtbasepres[[#This Row],[Cout global ]]-dtbasepres[[#This Row],[Cout payé par la mutuelle ]]</f>
        <v>1800000</v>
      </c>
      <c r="L9" s="97" t="s">
        <v>113</v>
      </c>
      <c r="M9" s="75"/>
      <c r="P9" s="76">
        <v>2021</v>
      </c>
      <c r="Q9" s="76" t="s">
        <v>150</v>
      </c>
      <c r="R9" s="76" t="s">
        <v>115</v>
      </c>
      <c r="S9" s="76" t="s">
        <v>350</v>
      </c>
      <c r="T9" s="76" t="s">
        <v>321</v>
      </c>
      <c r="U9" s="77">
        <v>38359</v>
      </c>
      <c r="V9" s="77">
        <v>38602</v>
      </c>
      <c r="W9" s="76">
        <v>9</v>
      </c>
      <c r="X9" s="103">
        <v>2800000</v>
      </c>
      <c r="Y9" s="103">
        <v>700000</v>
      </c>
      <c r="Z9" s="103">
        <v>2100000</v>
      </c>
      <c r="AA9" s="76" t="s">
        <v>113</v>
      </c>
    </row>
    <row r="10" spans="1:27" s="71" customFormat="1" ht="15.5" x14ac:dyDescent="0.35">
      <c r="A10" s="97">
        <v>2018</v>
      </c>
      <c r="B10" s="97" t="s">
        <v>124</v>
      </c>
      <c r="C10" s="97" t="s">
        <v>116</v>
      </c>
      <c r="D10" s="97" t="s">
        <v>352</v>
      </c>
      <c r="E10" s="97" t="s">
        <v>293</v>
      </c>
      <c r="F10" s="99">
        <v>40039</v>
      </c>
      <c r="G10" s="99">
        <v>40282</v>
      </c>
      <c r="H10" s="97"/>
      <c r="I10" s="102">
        <v>1450000</v>
      </c>
      <c r="J10" s="102">
        <v>362500</v>
      </c>
      <c r="K10" s="102">
        <f>dtbasepres[[#This Row],[Cout global ]]-dtbasepres[[#This Row],[Cout payé par la mutuelle ]]</f>
        <v>1087500</v>
      </c>
      <c r="L10" s="97" t="s">
        <v>281</v>
      </c>
      <c r="M10" s="75"/>
      <c r="P10" s="76">
        <v>2020</v>
      </c>
      <c r="Q10" s="76" t="s">
        <v>122</v>
      </c>
      <c r="R10" s="76" t="s">
        <v>115</v>
      </c>
      <c r="S10" s="76" t="s">
        <v>359</v>
      </c>
      <c r="T10" s="76" t="s">
        <v>329</v>
      </c>
      <c r="U10" s="77">
        <v>41558</v>
      </c>
      <c r="V10" s="77">
        <v>41831</v>
      </c>
      <c r="W10" s="76">
        <v>23</v>
      </c>
      <c r="X10" s="103">
        <v>3250000</v>
      </c>
      <c r="Y10" s="103">
        <v>812500</v>
      </c>
      <c r="Z10" s="103">
        <v>2437500</v>
      </c>
      <c r="AA10" s="76" t="s">
        <v>280</v>
      </c>
    </row>
    <row r="11" spans="1:27" s="71" customFormat="1" ht="15.5" x14ac:dyDescent="0.35">
      <c r="A11" s="97">
        <v>2021</v>
      </c>
      <c r="B11" s="97" t="s">
        <v>125</v>
      </c>
      <c r="C11" s="97" t="s">
        <v>115</v>
      </c>
      <c r="D11" s="97" t="s">
        <v>353</v>
      </c>
      <c r="E11" s="97" t="s">
        <v>294</v>
      </c>
      <c r="F11" s="99">
        <v>40508</v>
      </c>
      <c r="G11" s="99">
        <v>40750</v>
      </c>
      <c r="H11" s="97">
        <v>5</v>
      </c>
      <c r="I11" s="102">
        <v>2850000</v>
      </c>
      <c r="J11" s="102">
        <v>712500</v>
      </c>
      <c r="K11" s="102">
        <f>dtbasepres[[#This Row],[Cout global ]]-dtbasepres[[#This Row],[Cout payé par la mutuelle ]]</f>
        <v>2137500</v>
      </c>
      <c r="L11" s="97" t="s">
        <v>280</v>
      </c>
      <c r="M11" s="75"/>
      <c r="P11" s="76">
        <v>2020</v>
      </c>
      <c r="Q11" s="76" t="s">
        <v>168</v>
      </c>
      <c r="R11" s="97" t="s">
        <v>115</v>
      </c>
      <c r="S11" s="76" t="s">
        <v>348</v>
      </c>
      <c r="T11" s="76" t="s">
        <v>343</v>
      </c>
      <c r="U11" s="77">
        <v>40879</v>
      </c>
      <c r="V11" s="77">
        <v>41335</v>
      </c>
      <c r="W11" s="76">
        <v>3</v>
      </c>
      <c r="X11" s="103">
        <v>3900000</v>
      </c>
      <c r="Y11" s="103">
        <v>975000</v>
      </c>
      <c r="Z11" s="103">
        <v>2925000</v>
      </c>
      <c r="AA11" s="76" t="s">
        <v>282</v>
      </c>
    </row>
    <row r="12" spans="1:27" s="71" customFormat="1" ht="15.5" x14ac:dyDescent="0.35">
      <c r="A12" s="76">
        <v>2019</v>
      </c>
      <c r="B12" s="76" t="s">
        <v>122</v>
      </c>
      <c r="C12" s="76" t="s">
        <v>286</v>
      </c>
      <c r="D12" s="76" t="s">
        <v>354</v>
      </c>
      <c r="E12" s="76" t="s">
        <v>295</v>
      </c>
      <c r="F12" s="77">
        <v>40581</v>
      </c>
      <c r="G12" s="77">
        <v>40823</v>
      </c>
      <c r="H12" s="76"/>
      <c r="I12" s="103">
        <v>2450000</v>
      </c>
      <c r="J12" s="103">
        <v>612500</v>
      </c>
      <c r="K12" s="103">
        <f>dtbasepres[[#This Row],[Cout global ]]-dtbasepres[[#This Row],[Cout payé par la mutuelle ]]</f>
        <v>1837500</v>
      </c>
      <c r="L12" s="76" t="s">
        <v>280</v>
      </c>
      <c r="M12" s="75"/>
    </row>
    <row r="13" spans="1:27" s="71" customFormat="1" ht="15.5" x14ac:dyDescent="0.35">
      <c r="A13" s="76">
        <v>2018</v>
      </c>
      <c r="B13" s="76" t="s">
        <v>126</v>
      </c>
      <c r="C13" s="76" t="s">
        <v>287</v>
      </c>
      <c r="D13" s="76" t="s">
        <v>348</v>
      </c>
      <c r="E13" s="76" t="s">
        <v>296</v>
      </c>
      <c r="F13" s="77">
        <v>41017</v>
      </c>
      <c r="G13" s="77">
        <v>41261</v>
      </c>
      <c r="H13" s="76"/>
      <c r="I13" s="103">
        <v>3750000</v>
      </c>
      <c r="J13" s="103">
        <v>937500</v>
      </c>
      <c r="K13" s="103">
        <f>dtbasepres[[#This Row],[Cout global ]]-dtbasepres[[#This Row],[Cout payé par la mutuelle ]]</f>
        <v>2812500</v>
      </c>
      <c r="L13" s="76" t="s">
        <v>282</v>
      </c>
      <c r="M13" s="75"/>
    </row>
    <row r="14" spans="1:27" ht="15.5" x14ac:dyDescent="0.35">
      <c r="A14" s="76">
        <v>2021</v>
      </c>
      <c r="B14" s="76" t="s">
        <v>127</v>
      </c>
      <c r="C14" s="76" t="s">
        <v>283</v>
      </c>
      <c r="D14" s="76" t="s">
        <v>352</v>
      </c>
      <c r="E14" s="76" t="s">
        <v>297</v>
      </c>
      <c r="F14" s="77">
        <v>41485</v>
      </c>
      <c r="G14" s="77">
        <v>41728</v>
      </c>
      <c r="H14" s="76"/>
      <c r="I14" s="103">
        <v>2300000</v>
      </c>
      <c r="J14" s="103">
        <v>575000</v>
      </c>
      <c r="K14" s="103">
        <f>dtbasepres[[#This Row],[Cout global ]]-dtbasepres[[#This Row],[Cout payé par la mutuelle ]]</f>
        <v>1725000</v>
      </c>
      <c r="L14" s="76" t="s">
        <v>113</v>
      </c>
      <c r="M14" s="75"/>
    </row>
    <row r="15" spans="1:27" ht="15.5" x14ac:dyDescent="0.35">
      <c r="A15" s="76">
        <v>2020</v>
      </c>
      <c r="B15" s="76" t="s">
        <v>128</v>
      </c>
      <c r="C15" s="76" t="s">
        <v>285</v>
      </c>
      <c r="D15" s="76" t="s">
        <v>350</v>
      </c>
      <c r="E15" s="76" t="s">
        <v>298</v>
      </c>
      <c r="F15" s="77">
        <v>41924</v>
      </c>
      <c r="G15" s="77">
        <v>42167</v>
      </c>
      <c r="H15" s="76"/>
      <c r="I15" s="103">
        <v>3750000</v>
      </c>
      <c r="J15" s="103">
        <v>937500</v>
      </c>
      <c r="K15" s="103">
        <f>dtbasepres[[#This Row],[Cout global ]]-dtbasepres[[#This Row],[Cout payé par la mutuelle ]]</f>
        <v>2812500</v>
      </c>
      <c r="L15" s="76" t="s">
        <v>281</v>
      </c>
      <c r="M15" s="75"/>
    </row>
    <row r="16" spans="1:27" ht="15.5" x14ac:dyDescent="0.35">
      <c r="A16" s="76">
        <v>2021</v>
      </c>
      <c r="B16" s="76" t="s">
        <v>129</v>
      </c>
      <c r="C16" s="76" t="s">
        <v>116</v>
      </c>
      <c r="D16" s="76" t="s">
        <v>351</v>
      </c>
      <c r="E16" s="76" t="s">
        <v>299</v>
      </c>
      <c r="F16" s="77">
        <v>42027</v>
      </c>
      <c r="G16" s="77">
        <v>42270</v>
      </c>
      <c r="H16" s="76"/>
      <c r="I16" s="103">
        <v>2000000</v>
      </c>
      <c r="J16" s="103">
        <v>500000</v>
      </c>
      <c r="K16" s="103">
        <f>dtbasepres[[#This Row],[Cout global ]]-dtbasepres[[#This Row],[Cout payé par la mutuelle ]]</f>
        <v>1500000</v>
      </c>
      <c r="L16" s="76" t="s">
        <v>282</v>
      </c>
    </row>
    <row r="17" spans="1:12" ht="15.5" x14ac:dyDescent="0.35">
      <c r="A17" s="76">
        <v>2022</v>
      </c>
      <c r="B17" s="76" t="s">
        <v>130</v>
      </c>
      <c r="C17" s="76" t="s">
        <v>115</v>
      </c>
      <c r="D17" s="76" t="s">
        <v>349</v>
      </c>
      <c r="E17" s="76" t="s">
        <v>300</v>
      </c>
      <c r="F17" s="77">
        <v>42434</v>
      </c>
      <c r="G17" s="77">
        <v>42679</v>
      </c>
      <c r="H17" s="76">
        <v>6</v>
      </c>
      <c r="I17" s="103">
        <v>3250000</v>
      </c>
      <c r="J17" s="103">
        <v>812500</v>
      </c>
      <c r="K17" s="103">
        <f>dtbasepres[[#This Row],[Cout global ]]-dtbasepres[[#This Row],[Cout payé par la mutuelle ]]</f>
        <v>2437500</v>
      </c>
      <c r="L17" s="76" t="s">
        <v>280</v>
      </c>
    </row>
    <row r="18" spans="1:12" ht="15.5" x14ac:dyDescent="0.35">
      <c r="A18" s="76">
        <v>2019</v>
      </c>
      <c r="B18" s="76" t="s">
        <v>131</v>
      </c>
      <c r="C18" s="76" t="s">
        <v>284</v>
      </c>
      <c r="D18" s="76" t="s">
        <v>355</v>
      </c>
      <c r="E18" s="76" t="s">
        <v>301</v>
      </c>
      <c r="F18" s="77">
        <v>42903</v>
      </c>
      <c r="G18" s="77">
        <v>43148</v>
      </c>
      <c r="H18" s="76"/>
      <c r="I18" s="103">
        <v>3200000</v>
      </c>
      <c r="J18" s="103">
        <v>800000</v>
      </c>
      <c r="K18" s="103">
        <f>dtbasepres[[#This Row],[Cout global ]]-dtbasepres[[#This Row],[Cout payé par la mutuelle ]]</f>
        <v>2400000</v>
      </c>
      <c r="L18" s="76" t="s">
        <v>113</v>
      </c>
    </row>
    <row r="19" spans="1:12" ht="15.5" x14ac:dyDescent="0.35">
      <c r="A19" s="76">
        <v>2019</v>
      </c>
      <c r="B19" s="76" t="s">
        <v>132</v>
      </c>
      <c r="C19" s="76" t="s">
        <v>114</v>
      </c>
      <c r="D19" s="76" t="s">
        <v>353</v>
      </c>
      <c r="E19" s="76" t="s">
        <v>302</v>
      </c>
      <c r="F19" s="77">
        <v>43372</v>
      </c>
      <c r="G19" s="77">
        <v>43614</v>
      </c>
      <c r="H19" s="76"/>
      <c r="I19" s="103">
        <v>2750000</v>
      </c>
      <c r="J19" s="103">
        <v>687500</v>
      </c>
      <c r="K19" s="103">
        <f>dtbasepres[[#This Row],[Cout global ]]-dtbasepres[[#This Row],[Cout payé par la mutuelle ]]</f>
        <v>2062500</v>
      </c>
      <c r="L19" s="76" t="s">
        <v>282</v>
      </c>
    </row>
    <row r="20" spans="1:12" ht="15.5" x14ac:dyDescent="0.35">
      <c r="A20" s="76">
        <v>2018</v>
      </c>
      <c r="B20" s="76" t="s">
        <v>133</v>
      </c>
      <c r="C20" s="76" t="s">
        <v>286</v>
      </c>
      <c r="D20" s="76" t="s">
        <v>348</v>
      </c>
      <c r="E20" s="76" t="s">
        <v>303</v>
      </c>
      <c r="F20" s="77">
        <v>43800</v>
      </c>
      <c r="G20" s="77">
        <v>44044</v>
      </c>
      <c r="H20" s="76"/>
      <c r="I20" s="103">
        <v>2150000</v>
      </c>
      <c r="J20" s="103">
        <v>537500</v>
      </c>
      <c r="K20" s="103">
        <f>dtbasepres[[#This Row],[Cout global ]]-dtbasepres[[#This Row],[Cout payé par la mutuelle ]]</f>
        <v>1612500</v>
      </c>
      <c r="L20" s="76" t="s">
        <v>279</v>
      </c>
    </row>
    <row r="21" spans="1:12" ht="15.5" x14ac:dyDescent="0.35">
      <c r="A21" s="76">
        <v>2021</v>
      </c>
      <c r="B21" s="76" t="s">
        <v>134</v>
      </c>
      <c r="C21" s="76" t="s">
        <v>287</v>
      </c>
      <c r="D21" s="76" t="s">
        <v>349</v>
      </c>
      <c r="E21" s="76" t="s">
        <v>304</v>
      </c>
      <c r="F21" s="77">
        <v>43874</v>
      </c>
      <c r="G21" s="77">
        <v>44117</v>
      </c>
      <c r="H21" s="76"/>
      <c r="I21" s="103">
        <v>2950000</v>
      </c>
      <c r="J21" s="103">
        <v>737500</v>
      </c>
      <c r="K21" s="103">
        <f>dtbasepres[[#This Row],[Cout global ]]-dtbasepres[[#This Row],[Cout payé par la mutuelle ]]</f>
        <v>2212500</v>
      </c>
      <c r="L21" s="76" t="s">
        <v>281</v>
      </c>
    </row>
    <row r="22" spans="1:12" ht="15.5" x14ac:dyDescent="0.35">
      <c r="A22" s="76">
        <v>2020</v>
      </c>
      <c r="B22" s="76" t="s">
        <v>135</v>
      </c>
      <c r="C22" s="76" t="s">
        <v>283</v>
      </c>
      <c r="D22" s="76" t="s">
        <v>353</v>
      </c>
      <c r="E22" s="76" t="s">
        <v>305</v>
      </c>
      <c r="F22" s="77">
        <v>38497</v>
      </c>
      <c r="G22" s="77">
        <v>38742</v>
      </c>
      <c r="H22" s="76"/>
      <c r="I22" s="103">
        <v>3500000</v>
      </c>
      <c r="J22" s="103">
        <v>875000</v>
      </c>
      <c r="K22" s="103">
        <f>dtbasepres[[#This Row],[Cout global ]]-dtbasepres[[#This Row],[Cout payé par la mutuelle ]]</f>
        <v>2625000</v>
      </c>
      <c r="L22" s="76" t="s">
        <v>280</v>
      </c>
    </row>
    <row r="23" spans="1:12" ht="15.5" x14ac:dyDescent="0.35">
      <c r="A23" s="76">
        <v>2019</v>
      </c>
      <c r="B23" s="76" t="s">
        <v>136</v>
      </c>
      <c r="C23" s="76" t="s">
        <v>283</v>
      </c>
      <c r="D23" s="76" t="s">
        <v>350</v>
      </c>
      <c r="E23" s="76" t="s">
        <v>306</v>
      </c>
      <c r="F23" s="77">
        <v>38935</v>
      </c>
      <c r="G23" s="77">
        <v>39544</v>
      </c>
      <c r="H23" s="76"/>
      <c r="I23" s="103">
        <v>3850000</v>
      </c>
      <c r="J23" s="103">
        <v>962500</v>
      </c>
      <c r="K23" s="103">
        <f>dtbasepres[[#This Row],[Cout global ]]-dtbasepres[[#This Row],[Cout payé par la mutuelle ]]</f>
        <v>2887500</v>
      </c>
      <c r="L23" s="76" t="s">
        <v>113</v>
      </c>
    </row>
    <row r="24" spans="1:12" ht="15.5" x14ac:dyDescent="0.35">
      <c r="A24" s="76">
        <v>2018</v>
      </c>
      <c r="B24" s="76" t="s">
        <v>137</v>
      </c>
      <c r="C24" s="76" t="s">
        <v>116</v>
      </c>
      <c r="D24" s="76" t="s">
        <v>351</v>
      </c>
      <c r="E24" s="76" t="s">
        <v>307</v>
      </c>
      <c r="F24" s="77">
        <v>39373</v>
      </c>
      <c r="G24" s="77">
        <v>39982</v>
      </c>
      <c r="H24" s="76"/>
      <c r="I24" s="103">
        <v>3650000</v>
      </c>
      <c r="J24" s="103">
        <v>912500</v>
      </c>
      <c r="K24" s="103">
        <f>dtbasepres[[#This Row],[Cout global ]]-dtbasepres[[#This Row],[Cout payé par la mutuelle ]]</f>
        <v>2737500</v>
      </c>
      <c r="L24" s="76" t="s">
        <v>279</v>
      </c>
    </row>
    <row r="25" spans="1:12" ht="15.5" x14ac:dyDescent="0.35">
      <c r="A25" s="76">
        <v>2018</v>
      </c>
      <c r="B25" s="76" t="s">
        <v>138</v>
      </c>
      <c r="C25" s="76" t="s">
        <v>287</v>
      </c>
      <c r="D25" s="76" t="s">
        <v>352</v>
      </c>
      <c r="E25" s="76" t="s">
        <v>308</v>
      </c>
      <c r="F25" s="77">
        <v>39476</v>
      </c>
      <c r="G25" s="77">
        <v>40085</v>
      </c>
      <c r="H25" s="76"/>
      <c r="I25" s="103">
        <v>2500000</v>
      </c>
      <c r="J25" s="103">
        <v>625000</v>
      </c>
      <c r="K25" s="103">
        <f>dtbasepres[[#This Row],[Cout global ]]-dtbasepres[[#This Row],[Cout payé par la mutuelle ]]</f>
        <v>1875000</v>
      </c>
      <c r="L25" s="76" t="s">
        <v>281</v>
      </c>
    </row>
    <row r="26" spans="1:12" ht="15.5" x14ac:dyDescent="0.35">
      <c r="A26" s="76">
        <v>2022</v>
      </c>
      <c r="B26" s="76" t="s">
        <v>139</v>
      </c>
      <c r="C26" s="76" t="s">
        <v>114</v>
      </c>
      <c r="D26" s="76" t="s">
        <v>356</v>
      </c>
      <c r="E26" s="76" t="s">
        <v>309</v>
      </c>
      <c r="F26" s="77">
        <v>39914</v>
      </c>
      <c r="G26" s="77">
        <v>40523</v>
      </c>
      <c r="H26" s="76"/>
      <c r="I26" s="103">
        <v>3100000</v>
      </c>
      <c r="J26" s="103">
        <v>775000</v>
      </c>
      <c r="K26" s="103">
        <f>dtbasepres[[#This Row],[Cout global ]]-dtbasepres[[#This Row],[Cout payé par la mutuelle ]]</f>
        <v>2325000</v>
      </c>
      <c r="L26" s="76" t="s">
        <v>282</v>
      </c>
    </row>
    <row r="27" spans="1:12" ht="15.5" x14ac:dyDescent="0.35">
      <c r="A27" s="76">
        <v>2020</v>
      </c>
      <c r="B27" s="76" t="s">
        <v>140</v>
      </c>
      <c r="C27" s="76" t="s">
        <v>115</v>
      </c>
      <c r="D27" s="76" t="s">
        <v>348</v>
      </c>
      <c r="E27" s="76" t="s">
        <v>310</v>
      </c>
      <c r="F27" s="77">
        <v>40382</v>
      </c>
      <c r="G27" s="77">
        <v>40991</v>
      </c>
      <c r="H27" s="76">
        <v>7</v>
      </c>
      <c r="I27" s="103">
        <v>3300000</v>
      </c>
      <c r="J27" s="103">
        <v>825000</v>
      </c>
      <c r="K27" s="103">
        <f>dtbasepres[[#This Row],[Cout global ]]-dtbasepres[[#This Row],[Cout payé par la mutuelle ]]</f>
        <v>2475000</v>
      </c>
      <c r="L27" s="76" t="s">
        <v>280</v>
      </c>
    </row>
    <row r="28" spans="1:12" ht="15.5" x14ac:dyDescent="0.35">
      <c r="A28" s="76">
        <v>2021</v>
      </c>
      <c r="B28" s="76" t="s">
        <v>141</v>
      </c>
      <c r="C28" s="76" t="s">
        <v>285</v>
      </c>
      <c r="D28" s="76" t="s">
        <v>353</v>
      </c>
      <c r="E28" s="76" t="s">
        <v>311</v>
      </c>
      <c r="F28" s="77">
        <v>40820</v>
      </c>
      <c r="G28" s="77">
        <v>41429</v>
      </c>
      <c r="H28" s="76"/>
      <c r="I28" s="103">
        <v>2750000</v>
      </c>
      <c r="J28" s="103">
        <v>687500</v>
      </c>
      <c r="K28" s="103">
        <f>dtbasepres[[#This Row],[Cout global ]]-dtbasepres[[#This Row],[Cout payé par la mutuelle ]]</f>
        <v>2062500</v>
      </c>
      <c r="L28" s="76" t="s">
        <v>113</v>
      </c>
    </row>
    <row r="29" spans="1:12" ht="15.5" x14ac:dyDescent="0.35">
      <c r="A29" s="76">
        <v>2019</v>
      </c>
      <c r="B29" s="76" t="s">
        <v>142</v>
      </c>
      <c r="C29" s="76" t="s">
        <v>286</v>
      </c>
      <c r="D29" s="76" t="s">
        <v>350</v>
      </c>
      <c r="E29" s="76" t="s">
        <v>312</v>
      </c>
      <c r="F29" s="77">
        <v>41259</v>
      </c>
      <c r="G29" s="77">
        <v>41867</v>
      </c>
      <c r="H29" s="76"/>
      <c r="I29" s="103">
        <v>3100000</v>
      </c>
      <c r="J29" s="103">
        <v>775000</v>
      </c>
      <c r="K29" s="103">
        <f>dtbasepres[[#This Row],[Cout global ]]-dtbasepres[[#This Row],[Cout payé par la mutuelle ]]</f>
        <v>2325000</v>
      </c>
      <c r="L29" s="76" t="s">
        <v>279</v>
      </c>
    </row>
    <row r="30" spans="1:12" ht="15.5" x14ac:dyDescent="0.35">
      <c r="A30" s="76">
        <v>2020</v>
      </c>
      <c r="B30" s="76" t="s">
        <v>122</v>
      </c>
      <c r="C30" s="76" t="s">
        <v>284</v>
      </c>
      <c r="D30" s="76" t="s">
        <v>349</v>
      </c>
      <c r="E30" s="76" t="s">
        <v>313</v>
      </c>
      <c r="F30" s="77">
        <v>41392</v>
      </c>
      <c r="G30" s="77">
        <v>42001</v>
      </c>
      <c r="H30" s="76"/>
      <c r="I30" s="103">
        <v>3000000</v>
      </c>
      <c r="J30" s="103">
        <v>750000</v>
      </c>
      <c r="K30" s="103">
        <f>dtbasepres[[#This Row],[Cout global ]]-dtbasepres[[#This Row],[Cout payé par la mutuelle ]]</f>
        <v>2250000</v>
      </c>
      <c r="L30" s="76" t="s">
        <v>280</v>
      </c>
    </row>
    <row r="31" spans="1:12" ht="15.5" x14ac:dyDescent="0.35">
      <c r="A31" s="76">
        <v>2019</v>
      </c>
      <c r="B31" s="76" t="s">
        <v>143</v>
      </c>
      <c r="C31" s="76" t="s">
        <v>283</v>
      </c>
      <c r="D31" s="76" t="s">
        <v>351</v>
      </c>
      <c r="E31" s="76" t="s">
        <v>314</v>
      </c>
      <c r="F31" s="77">
        <v>41830</v>
      </c>
      <c r="G31" s="77">
        <v>42439</v>
      </c>
      <c r="H31" s="76"/>
      <c r="I31" s="103">
        <v>3750000</v>
      </c>
      <c r="J31" s="103">
        <v>937500</v>
      </c>
      <c r="K31" s="103">
        <f>dtbasepres[[#This Row],[Cout global ]]-dtbasepres[[#This Row],[Cout payé par la mutuelle ]]</f>
        <v>2812500</v>
      </c>
      <c r="L31" s="76" t="s">
        <v>281</v>
      </c>
    </row>
    <row r="32" spans="1:12" ht="15.5" x14ac:dyDescent="0.35">
      <c r="A32" s="76">
        <v>2021</v>
      </c>
      <c r="B32" s="76" t="s">
        <v>144</v>
      </c>
      <c r="C32" s="76" t="s">
        <v>116</v>
      </c>
      <c r="D32" s="76" t="s">
        <v>352</v>
      </c>
      <c r="E32" s="76" t="s">
        <v>315</v>
      </c>
      <c r="F32" s="77">
        <v>42269</v>
      </c>
      <c r="G32" s="77">
        <v>42877</v>
      </c>
      <c r="H32" s="76"/>
      <c r="I32" s="103">
        <v>2550000</v>
      </c>
      <c r="J32" s="103">
        <v>637500</v>
      </c>
      <c r="K32" s="103">
        <f>dtbasepres[[#This Row],[Cout global ]]-dtbasepres[[#This Row],[Cout payé par la mutuelle ]]</f>
        <v>1912500</v>
      </c>
      <c r="L32" s="76" t="s">
        <v>280</v>
      </c>
    </row>
    <row r="33" spans="1:12" ht="15.5" x14ac:dyDescent="0.35">
      <c r="A33" s="76">
        <v>2019</v>
      </c>
      <c r="B33" s="76" t="s">
        <v>145</v>
      </c>
      <c r="C33" s="76" t="s">
        <v>283</v>
      </c>
      <c r="D33" s="76" t="s">
        <v>357</v>
      </c>
      <c r="E33" s="76" t="s">
        <v>316</v>
      </c>
      <c r="F33" s="77">
        <v>42708</v>
      </c>
      <c r="G33" s="77">
        <v>43316</v>
      </c>
      <c r="H33" s="76"/>
      <c r="I33" s="103">
        <v>3000000</v>
      </c>
      <c r="J33" s="103">
        <v>750000</v>
      </c>
      <c r="K33" s="103">
        <f>dtbasepres[[#This Row],[Cout global ]]-dtbasepres[[#This Row],[Cout payé par la mutuelle ]]</f>
        <v>2250000</v>
      </c>
      <c r="L33" s="76" t="s">
        <v>113</v>
      </c>
    </row>
    <row r="34" spans="1:12" ht="15.5" x14ac:dyDescent="0.35">
      <c r="A34" s="76">
        <v>2021</v>
      </c>
      <c r="B34" s="76" t="s">
        <v>146</v>
      </c>
      <c r="C34" s="76" t="s">
        <v>114</v>
      </c>
      <c r="D34" s="76" t="s">
        <v>348</v>
      </c>
      <c r="E34" s="76" t="s">
        <v>317</v>
      </c>
      <c r="F34" s="77">
        <v>42781</v>
      </c>
      <c r="G34" s="77">
        <v>43753</v>
      </c>
      <c r="H34" s="76"/>
      <c r="I34" s="103">
        <v>3800000</v>
      </c>
      <c r="J34" s="103">
        <v>950000</v>
      </c>
      <c r="K34" s="103">
        <f>dtbasepres[[#This Row],[Cout global ]]-dtbasepres[[#This Row],[Cout payé par la mutuelle ]]</f>
        <v>2850000</v>
      </c>
      <c r="L34" s="76" t="s">
        <v>281</v>
      </c>
    </row>
    <row r="35" spans="1:12" ht="15.5" x14ac:dyDescent="0.35">
      <c r="A35" s="76">
        <v>2018</v>
      </c>
      <c r="B35" s="76" t="s">
        <v>147</v>
      </c>
      <c r="C35" s="76" t="s">
        <v>286</v>
      </c>
      <c r="D35" s="76" t="s">
        <v>349</v>
      </c>
      <c r="E35" s="76" t="s">
        <v>318</v>
      </c>
      <c r="F35" s="77">
        <v>43249</v>
      </c>
      <c r="G35" s="77">
        <v>44225</v>
      </c>
      <c r="H35" s="76"/>
      <c r="I35" s="103">
        <v>3900000</v>
      </c>
      <c r="J35" s="103">
        <v>975000</v>
      </c>
      <c r="K35" s="103">
        <f>dtbasepres[[#This Row],[Cout global ]]-dtbasepres[[#This Row],[Cout payé par la mutuelle ]]</f>
        <v>2925000</v>
      </c>
      <c r="L35" s="76" t="s">
        <v>282</v>
      </c>
    </row>
    <row r="36" spans="1:12" ht="15.5" x14ac:dyDescent="0.35">
      <c r="A36" s="76">
        <v>2019</v>
      </c>
      <c r="B36" s="76" t="s">
        <v>148</v>
      </c>
      <c r="C36" s="76" t="s">
        <v>116</v>
      </c>
      <c r="D36" s="76" t="s">
        <v>352</v>
      </c>
      <c r="E36" s="76" t="s">
        <v>319</v>
      </c>
      <c r="F36" s="77">
        <v>43687</v>
      </c>
      <c r="G36" s="77">
        <v>44661</v>
      </c>
      <c r="H36" s="76"/>
      <c r="I36" s="103">
        <v>2700000</v>
      </c>
      <c r="J36" s="103">
        <v>675000</v>
      </c>
      <c r="K36" s="103">
        <f>dtbasepres[[#This Row],[Cout global ]]-dtbasepres[[#This Row],[Cout payé par la mutuelle ]]</f>
        <v>2025000</v>
      </c>
      <c r="L36" s="76" t="s">
        <v>279</v>
      </c>
    </row>
    <row r="37" spans="1:12" ht="15.5" x14ac:dyDescent="0.35">
      <c r="A37" s="76">
        <v>2020</v>
      </c>
      <c r="B37" s="76" t="s">
        <v>149</v>
      </c>
      <c r="C37" s="76" t="s">
        <v>287</v>
      </c>
      <c r="D37" s="76" t="s">
        <v>351</v>
      </c>
      <c r="E37" s="76" t="s">
        <v>320</v>
      </c>
      <c r="F37" s="77">
        <v>44126</v>
      </c>
      <c r="G37" s="77">
        <v>44734</v>
      </c>
      <c r="H37" s="76"/>
      <c r="I37" s="103">
        <v>3850000</v>
      </c>
      <c r="J37" s="103">
        <v>962500</v>
      </c>
      <c r="K37" s="103">
        <f>dtbasepres[[#This Row],[Cout global ]]-dtbasepres[[#This Row],[Cout payé par la mutuelle ]]</f>
        <v>2887500</v>
      </c>
      <c r="L37" s="76" t="s">
        <v>280</v>
      </c>
    </row>
    <row r="38" spans="1:12" ht="15.5" x14ac:dyDescent="0.35">
      <c r="A38" s="76">
        <v>2021</v>
      </c>
      <c r="B38" s="76" t="s">
        <v>150</v>
      </c>
      <c r="C38" s="76" t="s">
        <v>115</v>
      </c>
      <c r="D38" s="76" t="s">
        <v>350</v>
      </c>
      <c r="E38" s="76" t="s">
        <v>321</v>
      </c>
      <c r="F38" s="77">
        <v>38359</v>
      </c>
      <c r="G38" s="77">
        <v>38602</v>
      </c>
      <c r="H38" s="76">
        <v>9</v>
      </c>
      <c r="I38" s="103">
        <v>2800000</v>
      </c>
      <c r="J38" s="103">
        <v>700000</v>
      </c>
      <c r="K38" s="103">
        <f>dtbasepres[[#This Row],[Cout global ]]-dtbasepres[[#This Row],[Cout payé par la mutuelle ]]</f>
        <v>2100000</v>
      </c>
      <c r="L38" s="76" t="s">
        <v>113</v>
      </c>
    </row>
    <row r="39" spans="1:12" ht="15.5" x14ac:dyDescent="0.35">
      <c r="A39" s="76">
        <v>2021</v>
      </c>
      <c r="B39" s="76" t="s">
        <v>151</v>
      </c>
      <c r="C39" s="76" t="s">
        <v>284</v>
      </c>
      <c r="D39" s="76" t="s">
        <v>358</v>
      </c>
      <c r="E39" s="76" t="s">
        <v>322</v>
      </c>
      <c r="F39" s="77">
        <v>38796</v>
      </c>
      <c r="G39" s="77">
        <v>39041</v>
      </c>
      <c r="H39" s="76"/>
      <c r="I39" s="103">
        <v>2050000</v>
      </c>
      <c r="J39" s="103">
        <v>512500</v>
      </c>
      <c r="K39" s="103">
        <f>dtbasepres[[#This Row],[Cout global ]]-dtbasepres[[#This Row],[Cout payé par la mutuelle ]]</f>
        <v>1537500</v>
      </c>
      <c r="L39" s="76" t="s">
        <v>281</v>
      </c>
    </row>
    <row r="40" spans="1:12" ht="15.5" x14ac:dyDescent="0.35">
      <c r="A40" s="76">
        <v>2018</v>
      </c>
      <c r="B40" s="76" t="s">
        <v>152</v>
      </c>
      <c r="C40" s="76" t="s">
        <v>285</v>
      </c>
      <c r="D40" s="76" t="s">
        <v>353</v>
      </c>
      <c r="E40" s="76" t="s">
        <v>323</v>
      </c>
      <c r="F40" s="77">
        <v>39234</v>
      </c>
      <c r="G40" s="77">
        <v>39508</v>
      </c>
      <c r="H40" s="76"/>
      <c r="I40" s="103">
        <v>3200000</v>
      </c>
      <c r="J40" s="103">
        <v>800000</v>
      </c>
      <c r="K40" s="103">
        <f>dtbasepres[[#This Row],[Cout global ]]-dtbasepres[[#This Row],[Cout payé par la mutuelle ]]</f>
        <v>2400000</v>
      </c>
      <c r="L40" s="76" t="s">
        <v>279</v>
      </c>
    </row>
    <row r="41" spans="1:12" ht="15.5" x14ac:dyDescent="0.35">
      <c r="A41" s="76">
        <v>2020</v>
      </c>
      <c r="B41" s="76" t="s">
        <v>153</v>
      </c>
      <c r="C41" s="76" t="s">
        <v>283</v>
      </c>
      <c r="D41" s="76" t="s">
        <v>348</v>
      </c>
      <c r="E41" s="76" t="s">
        <v>324</v>
      </c>
      <c r="F41" s="77">
        <v>39673</v>
      </c>
      <c r="G41" s="77">
        <v>39946</v>
      </c>
      <c r="H41" s="76"/>
      <c r="I41" s="103">
        <v>3300000</v>
      </c>
      <c r="J41" s="103">
        <v>825000</v>
      </c>
      <c r="K41" s="103">
        <f>dtbasepres[[#This Row],[Cout global ]]-dtbasepres[[#This Row],[Cout payé par la mutuelle ]]</f>
        <v>2475000</v>
      </c>
      <c r="L41" s="76" t="s">
        <v>282</v>
      </c>
    </row>
    <row r="42" spans="1:12" ht="15.5" x14ac:dyDescent="0.35">
      <c r="A42" s="76">
        <v>2019</v>
      </c>
      <c r="B42" s="76" t="s">
        <v>151</v>
      </c>
      <c r="C42" s="76" t="s">
        <v>114</v>
      </c>
      <c r="D42" s="76" t="s">
        <v>349</v>
      </c>
      <c r="E42" s="76" t="s">
        <v>325</v>
      </c>
      <c r="F42" s="77">
        <v>40142</v>
      </c>
      <c r="G42" s="77">
        <v>40415</v>
      </c>
      <c r="H42" s="76"/>
      <c r="I42" s="103">
        <v>2500000</v>
      </c>
      <c r="J42" s="103">
        <v>625000</v>
      </c>
      <c r="K42" s="103">
        <f>dtbasepres[[#This Row],[Cout global ]]-dtbasepres[[#This Row],[Cout payé par la mutuelle ]]</f>
        <v>1875000</v>
      </c>
      <c r="L42" s="76" t="s">
        <v>281</v>
      </c>
    </row>
    <row r="43" spans="1:12" ht="15.5" x14ac:dyDescent="0.35">
      <c r="A43" s="76">
        <v>2021</v>
      </c>
      <c r="B43" s="76" t="s">
        <v>154</v>
      </c>
      <c r="C43" s="76" t="s">
        <v>286</v>
      </c>
      <c r="D43" s="76" t="s">
        <v>350</v>
      </c>
      <c r="E43" s="76" t="s">
        <v>326</v>
      </c>
      <c r="F43" s="77">
        <v>40214</v>
      </c>
      <c r="G43" s="77">
        <v>40487</v>
      </c>
      <c r="H43" s="76"/>
      <c r="I43" s="103">
        <v>3300000</v>
      </c>
      <c r="J43" s="103">
        <v>825000</v>
      </c>
      <c r="K43" s="103">
        <f>dtbasepres[[#This Row],[Cout global ]]-dtbasepres[[#This Row],[Cout payé par la mutuelle ]]</f>
        <v>2475000</v>
      </c>
      <c r="L43" s="76" t="s">
        <v>113</v>
      </c>
    </row>
    <row r="44" spans="1:12" ht="15.5" x14ac:dyDescent="0.35">
      <c r="A44" s="76">
        <v>2019</v>
      </c>
      <c r="B44" s="76" t="s">
        <v>155</v>
      </c>
      <c r="C44" s="76" t="s">
        <v>116</v>
      </c>
      <c r="D44" s="76" t="s">
        <v>351</v>
      </c>
      <c r="E44" s="76" t="s">
        <v>327</v>
      </c>
      <c r="F44" s="77">
        <v>40651</v>
      </c>
      <c r="G44" s="77">
        <v>40926</v>
      </c>
      <c r="H44" s="76"/>
      <c r="I44" s="103">
        <v>2800000</v>
      </c>
      <c r="J44" s="103">
        <v>700000</v>
      </c>
      <c r="K44" s="103">
        <f>dtbasepres[[#This Row],[Cout global ]]-dtbasepres[[#This Row],[Cout payé par la mutuelle ]]</f>
        <v>2100000</v>
      </c>
      <c r="L44" s="76" t="s">
        <v>281</v>
      </c>
    </row>
    <row r="45" spans="1:12" ht="15.5" x14ac:dyDescent="0.35">
      <c r="A45" s="76">
        <v>2018</v>
      </c>
      <c r="B45" s="76" t="s">
        <v>156</v>
      </c>
      <c r="C45" s="76" t="s">
        <v>285</v>
      </c>
      <c r="D45" s="76" t="s">
        <v>352</v>
      </c>
      <c r="E45" s="76" t="s">
        <v>328</v>
      </c>
      <c r="F45" s="77">
        <v>41120</v>
      </c>
      <c r="G45" s="77">
        <v>41394</v>
      </c>
      <c r="H45" s="76"/>
      <c r="I45" s="103">
        <v>2350000</v>
      </c>
      <c r="J45" s="103">
        <v>587500</v>
      </c>
      <c r="K45" s="103">
        <f>dtbasepres[[#This Row],[Cout global ]]-dtbasepres[[#This Row],[Cout payé par la mutuelle ]]</f>
        <v>1762500</v>
      </c>
      <c r="L45" s="76" t="s">
        <v>279</v>
      </c>
    </row>
    <row r="46" spans="1:12" ht="15.5" x14ac:dyDescent="0.35">
      <c r="A46" s="76">
        <v>2020</v>
      </c>
      <c r="B46" s="76" t="s">
        <v>122</v>
      </c>
      <c r="C46" s="76" t="s">
        <v>115</v>
      </c>
      <c r="D46" s="76" t="s">
        <v>359</v>
      </c>
      <c r="E46" s="76" t="s">
        <v>329</v>
      </c>
      <c r="F46" s="77">
        <v>41558</v>
      </c>
      <c r="G46" s="77">
        <v>41831</v>
      </c>
      <c r="H46" s="76">
        <v>23</v>
      </c>
      <c r="I46" s="103">
        <v>3250000</v>
      </c>
      <c r="J46" s="103">
        <v>812500</v>
      </c>
      <c r="K46" s="103">
        <f>dtbasepres[[#This Row],[Cout global ]]-dtbasepres[[#This Row],[Cout payé par la mutuelle ]]</f>
        <v>2437500</v>
      </c>
      <c r="L46" s="76" t="s">
        <v>280</v>
      </c>
    </row>
    <row r="47" spans="1:12" ht="15.5" x14ac:dyDescent="0.35">
      <c r="A47" s="76">
        <v>2022</v>
      </c>
      <c r="B47" s="76" t="s">
        <v>157</v>
      </c>
      <c r="C47" s="76" t="s">
        <v>284</v>
      </c>
      <c r="D47" s="76" t="s">
        <v>353</v>
      </c>
      <c r="E47" s="76" t="s">
        <v>330</v>
      </c>
      <c r="F47" s="77">
        <v>41662</v>
      </c>
      <c r="G47" s="77">
        <v>41935</v>
      </c>
      <c r="H47" s="76"/>
      <c r="I47" s="103">
        <v>3150000</v>
      </c>
      <c r="J47" s="103">
        <v>787500</v>
      </c>
      <c r="K47" s="103">
        <f>dtbasepres[[#This Row],[Cout global ]]-dtbasepres[[#This Row],[Cout payé par la mutuelle ]]</f>
        <v>2362500</v>
      </c>
      <c r="L47" s="76" t="s">
        <v>280</v>
      </c>
    </row>
    <row r="48" spans="1:12" ht="15.5" x14ac:dyDescent="0.35">
      <c r="A48" s="76">
        <v>2021</v>
      </c>
      <c r="B48" s="76" t="s">
        <v>158</v>
      </c>
      <c r="C48" s="76" t="s">
        <v>287</v>
      </c>
      <c r="D48" s="76" t="s">
        <v>348</v>
      </c>
      <c r="E48" s="76" t="s">
        <v>331</v>
      </c>
      <c r="F48" s="77">
        <v>42099</v>
      </c>
      <c r="G48" s="77">
        <v>42374</v>
      </c>
      <c r="H48" s="76"/>
      <c r="I48" s="103">
        <v>3850000</v>
      </c>
      <c r="J48" s="103">
        <v>962500</v>
      </c>
      <c r="K48" s="103">
        <f>dtbasepres[[#This Row],[Cout global ]]-dtbasepres[[#This Row],[Cout payé par la mutuelle ]]</f>
        <v>2887500</v>
      </c>
      <c r="L48" s="76" t="s">
        <v>113</v>
      </c>
    </row>
    <row r="49" spans="1:12" ht="15.5" x14ac:dyDescent="0.35">
      <c r="A49" s="76">
        <v>2020</v>
      </c>
      <c r="B49" s="76" t="s">
        <v>159</v>
      </c>
      <c r="C49" s="76" t="s">
        <v>283</v>
      </c>
      <c r="D49" s="76" t="s">
        <v>350</v>
      </c>
      <c r="E49" s="76" t="s">
        <v>332</v>
      </c>
      <c r="F49" s="77">
        <v>42538</v>
      </c>
      <c r="G49" s="77">
        <v>42811</v>
      </c>
      <c r="H49" s="76"/>
      <c r="I49" s="103">
        <v>2700000</v>
      </c>
      <c r="J49" s="103">
        <v>675000</v>
      </c>
      <c r="K49" s="103">
        <f>dtbasepres[[#This Row],[Cout global ]]-dtbasepres[[#This Row],[Cout payé par la mutuelle ]]</f>
        <v>2025000</v>
      </c>
      <c r="L49" s="76" t="s">
        <v>281</v>
      </c>
    </row>
    <row r="50" spans="1:12" ht="15.5" x14ac:dyDescent="0.35">
      <c r="A50" s="76">
        <v>2019</v>
      </c>
      <c r="B50" s="76" t="s">
        <v>160</v>
      </c>
      <c r="C50" s="76" t="s">
        <v>286</v>
      </c>
      <c r="D50" s="76" t="s">
        <v>349</v>
      </c>
      <c r="E50" s="76" t="s">
        <v>333</v>
      </c>
      <c r="F50" s="77">
        <v>43007</v>
      </c>
      <c r="G50" s="77">
        <v>43280</v>
      </c>
      <c r="H50" s="76"/>
      <c r="I50" s="103">
        <v>2900000</v>
      </c>
      <c r="J50" s="103">
        <v>725000</v>
      </c>
      <c r="K50" s="103">
        <f>dtbasepres[[#This Row],[Cout global ]]-dtbasepres[[#This Row],[Cout payé par la mutuelle ]]</f>
        <v>2175000</v>
      </c>
      <c r="L50" s="76" t="s">
        <v>282</v>
      </c>
    </row>
    <row r="51" spans="1:12" ht="15.5" x14ac:dyDescent="0.35">
      <c r="A51" s="76">
        <v>2018</v>
      </c>
      <c r="B51" s="76" t="s">
        <v>161</v>
      </c>
      <c r="C51" s="76" t="s">
        <v>116</v>
      </c>
      <c r="D51" s="76" t="s">
        <v>351</v>
      </c>
      <c r="E51" s="76" t="s">
        <v>334</v>
      </c>
      <c r="F51" s="77">
        <v>43445</v>
      </c>
      <c r="G51" s="77">
        <v>43719</v>
      </c>
      <c r="H51" s="76"/>
      <c r="I51" s="103">
        <v>3650000</v>
      </c>
      <c r="J51" s="103">
        <v>912500</v>
      </c>
      <c r="K51" s="103">
        <f>dtbasepres[[#This Row],[Cout global ]]-dtbasepres[[#This Row],[Cout payé par la mutuelle ]]</f>
        <v>2737500</v>
      </c>
      <c r="L51" s="76" t="s">
        <v>279</v>
      </c>
    </row>
    <row r="52" spans="1:12" ht="15.5" x14ac:dyDescent="0.35">
      <c r="A52" s="76">
        <v>2019</v>
      </c>
      <c r="B52" s="76" t="s">
        <v>151</v>
      </c>
      <c r="C52" s="76" t="s">
        <v>114</v>
      </c>
      <c r="D52" s="76" t="s">
        <v>353</v>
      </c>
      <c r="E52" s="76" t="s">
        <v>335</v>
      </c>
      <c r="F52" s="77">
        <v>43548</v>
      </c>
      <c r="G52" s="77">
        <v>44159</v>
      </c>
      <c r="H52" s="76"/>
      <c r="I52" s="103">
        <v>3450000</v>
      </c>
      <c r="J52" s="103">
        <v>862500</v>
      </c>
      <c r="K52" s="103">
        <f>dtbasepres[[#This Row],[Cout global ]]-dtbasepres[[#This Row],[Cout payé par la mutuelle ]]</f>
        <v>2587500</v>
      </c>
      <c r="L52" s="76" t="s">
        <v>281</v>
      </c>
    </row>
    <row r="53" spans="1:12" ht="15.5" x14ac:dyDescent="0.35">
      <c r="A53" s="76">
        <v>2018</v>
      </c>
      <c r="B53" s="76" t="s">
        <v>162</v>
      </c>
      <c r="C53" s="76" t="s">
        <v>285</v>
      </c>
      <c r="D53" s="76" t="s">
        <v>360</v>
      </c>
      <c r="E53" s="76" t="s">
        <v>336</v>
      </c>
      <c r="F53" s="77">
        <v>43987</v>
      </c>
      <c r="G53" s="77">
        <v>44232</v>
      </c>
      <c r="H53" s="76"/>
      <c r="I53" s="103">
        <v>3700000</v>
      </c>
      <c r="J53" s="103">
        <v>925000</v>
      </c>
      <c r="K53" s="103">
        <f>dtbasepres[[#This Row],[Cout global ]]-dtbasepres[[#This Row],[Cout payé par la mutuelle ]]</f>
        <v>2775000</v>
      </c>
      <c r="L53" s="76" t="s">
        <v>113</v>
      </c>
    </row>
    <row r="54" spans="1:12" ht="15.5" x14ac:dyDescent="0.35">
      <c r="A54" s="76">
        <v>2022</v>
      </c>
      <c r="B54" s="76" t="s">
        <v>163</v>
      </c>
      <c r="C54" s="76" t="s">
        <v>288</v>
      </c>
      <c r="D54" s="76" t="s">
        <v>361</v>
      </c>
      <c r="E54" s="76" t="s">
        <v>337</v>
      </c>
      <c r="F54" s="77">
        <v>38583</v>
      </c>
      <c r="G54" s="77">
        <v>38644</v>
      </c>
      <c r="H54" s="76"/>
      <c r="I54" s="103">
        <v>2450000</v>
      </c>
      <c r="J54" s="103">
        <v>612500</v>
      </c>
      <c r="K54" s="103">
        <f>dtbasepres[[#This Row],[Cout global ]]-dtbasepres[[#This Row],[Cout payé par la mutuelle ]]</f>
        <v>1837500</v>
      </c>
      <c r="L54" s="76" t="s">
        <v>279</v>
      </c>
    </row>
    <row r="55" spans="1:12" ht="15.5" x14ac:dyDescent="0.35">
      <c r="A55" s="76">
        <v>2020</v>
      </c>
      <c r="B55" s="76" t="s">
        <v>164</v>
      </c>
      <c r="C55" s="97" t="s">
        <v>283</v>
      </c>
      <c r="D55" s="76" t="s">
        <v>349</v>
      </c>
      <c r="E55" s="76" t="s">
        <v>338</v>
      </c>
      <c r="F55" s="77">
        <v>39022</v>
      </c>
      <c r="G55" s="77">
        <v>39083</v>
      </c>
      <c r="H55" s="76"/>
      <c r="I55" s="103">
        <v>2400000</v>
      </c>
      <c r="J55" s="103">
        <v>600000</v>
      </c>
      <c r="K55" s="103">
        <f>dtbasepres[[#This Row],[Cout global ]]-dtbasepres[[#This Row],[Cout payé par la mutuelle ]]</f>
        <v>1800000</v>
      </c>
      <c r="L55" s="76" t="s">
        <v>281</v>
      </c>
    </row>
    <row r="56" spans="1:12" ht="15.5" x14ac:dyDescent="0.35">
      <c r="A56" s="76">
        <v>2021</v>
      </c>
      <c r="B56" s="76" t="s">
        <v>151</v>
      </c>
      <c r="C56" s="97" t="s">
        <v>284</v>
      </c>
      <c r="D56" s="76" t="s">
        <v>352</v>
      </c>
      <c r="E56" s="76" t="s">
        <v>339</v>
      </c>
      <c r="F56" s="77">
        <v>39095</v>
      </c>
      <c r="G56" s="77">
        <v>39520</v>
      </c>
      <c r="H56" s="76"/>
      <c r="I56" s="103">
        <v>3800000</v>
      </c>
      <c r="J56" s="103">
        <v>950000</v>
      </c>
      <c r="K56" s="103">
        <f>dtbasepres[[#This Row],[Cout global ]]-dtbasepres[[#This Row],[Cout payé par la mutuelle ]]</f>
        <v>2850000</v>
      </c>
      <c r="L56" s="76" t="s">
        <v>281</v>
      </c>
    </row>
    <row r="57" spans="1:12" ht="15.5" x14ac:dyDescent="0.35">
      <c r="A57" s="76">
        <v>2019</v>
      </c>
      <c r="B57" s="76" t="s">
        <v>165</v>
      </c>
      <c r="C57" s="97" t="s">
        <v>114</v>
      </c>
      <c r="D57" s="76" t="s">
        <v>353</v>
      </c>
      <c r="E57" s="76" t="s">
        <v>340</v>
      </c>
      <c r="F57" s="77">
        <v>39564</v>
      </c>
      <c r="G57" s="77">
        <v>39990</v>
      </c>
      <c r="H57" s="76"/>
      <c r="I57" s="103">
        <v>3950000</v>
      </c>
      <c r="J57" s="103">
        <v>987500</v>
      </c>
      <c r="K57" s="103">
        <f>dtbasepres[[#This Row],[Cout global ]]-dtbasepres[[#This Row],[Cout payé par la mutuelle ]]</f>
        <v>2962500</v>
      </c>
      <c r="L57" s="76" t="s">
        <v>280</v>
      </c>
    </row>
    <row r="58" spans="1:12" ht="15.5" x14ac:dyDescent="0.35">
      <c r="A58" s="76">
        <v>2018</v>
      </c>
      <c r="B58" s="76" t="s">
        <v>166</v>
      </c>
      <c r="C58" s="97" t="s">
        <v>285</v>
      </c>
      <c r="D58" s="76" t="s">
        <v>350</v>
      </c>
      <c r="E58" s="76" t="s">
        <v>341</v>
      </c>
      <c r="F58" s="77">
        <v>40002</v>
      </c>
      <c r="G58" s="77">
        <v>40429</v>
      </c>
      <c r="H58" s="76"/>
      <c r="I58" s="103">
        <v>3950000</v>
      </c>
      <c r="J58" s="103">
        <v>987500</v>
      </c>
      <c r="K58" s="103">
        <f>dtbasepres[[#This Row],[Cout global ]]-dtbasepres[[#This Row],[Cout payé par la mutuelle ]]</f>
        <v>2962500</v>
      </c>
      <c r="L58" s="76" t="s">
        <v>113</v>
      </c>
    </row>
    <row r="59" spans="1:12" ht="15.5" x14ac:dyDescent="0.35">
      <c r="A59" s="76">
        <v>2018</v>
      </c>
      <c r="B59" s="76" t="s">
        <v>167</v>
      </c>
      <c r="C59" s="76" t="s">
        <v>116</v>
      </c>
      <c r="D59" s="76" t="s">
        <v>351</v>
      </c>
      <c r="E59" s="76" t="s">
        <v>342</v>
      </c>
      <c r="F59" s="77">
        <v>40441</v>
      </c>
      <c r="G59" s="77">
        <v>40867</v>
      </c>
      <c r="H59" s="76"/>
      <c r="I59" s="103">
        <v>3500000</v>
      </c>
      <c r="J59" s="103">
        <v>875000</v>
      </c>
      <c r="K59" s="103">
        <f>dtbasepres[[#This Row],[Cout global ]]-dtbasepres[[#This Row],[Cout payé par la mutuelle ]]</f>
        <v>2625000</v>
      </c>
      <c r="L59" s="76" t="s">
        <v>281</v>
      </c>
    </row>
    <row r="60" spans="1:12" ht="15.5" x14ac:dyDescent="0.35">
      <c r="A60" s="76">
        <v>2020</v>
      </c>
      <c r="B60" s="76" t="s">
        <v>168</v>
      </c>
      <c r="C60" s="97" t="s">
        <v>115</v>
      </c>
      <c r="D60" s="76" t="s">
        <v>348</v>
      </c>
      <c r="E60" s="76" t="s">
        <v>343</v>
      </c>
      <c r="F60" s="77">
        <v>40879</v>
      </c>
      <c r="G60" s="77">
        <v>41335</v>
      </c>
      <c r="H60" s="76">
        <v>3</v>
      </c>
      <c r="I60" s="103">
        <v>3900000</v>
      </c>
      <c r="J60" s="103">
        <v>975000</v>
      </c>
      <c r="K60" s="103">
        <f>dtbasepres[[#This Row],[Cout global ]]-dtbasepres[[#This Row],[Cout payé par la mutuelle ]]</f>
        <v>2925000</v>
      </c>
      <c r="L60" s="76" t="s">
        <v>282</v>
      </c>
    </row>
    <row r="61" spans="1:12" ht="15.5" x14ac:dyDescent="0.35">
      <c r="A61" s="76">
        <v>2018</v>
      </c>
      <c r="B61" s="76" t="s">
        <v>151</v>
      </c>
      <c r="C61" s="76" t="s">
        <v>286</v>
      </c>
      <c r="D61" s="76" t="s">
        <v>362</v>
      </c>
      <c r="E61" s="76" t="s">
        <v>344</v>
      </c>
      <c r="F61" s="77">
        <v>40953</v>
      </c>
      <c r="G61" s="77">
        <v>41773</v>
      </c>
      <c r="H61" s="76"/>
      <c r="I61" s="103">
        <v>2300000</v>
      </c>
      <c r="J61" s="103">
        <v>575000</v>
      </c>
      <c r="K61" s="103">
        <f>dtbasepres[[#This Row],[Cout global ]]-dtbasepres[[#This Row],[Cout payé par la mutuelle ]]</f>
        <v>1725000</v>
      </c>
      <c r="L61" s="76" t="s">
        <v>281</v>
      </c>
    </row>
    <row r="62" spans="1:12" ht="15.5" x14ac:dyDescent="0.35">
      <c r="A62" s="76">
        <v>2019</v>
      </c>
      <c r="B62" s="76" t="s">
        <v>169</v>
      </c>
      <c r="C62" s="76" t="s">
        <v>287</v>
      </c>
      <c r="D62" s="97" t="s">
        <v>348</v>
      </c>
      <c r="E62" s="76" t="s">
        <v>345</v>
      </c>
      <c r="F62" s="77">
        <v>41422</v>
      </c>
      <c r="G62" s="77">
        <v>42244</v>
      </c>
      <c r="H62" s="76"/>
      <c r="I62" s="103">
        <v>3050000</v>
      </c>
      <c r="J62" s="103">
        <v>758333.33</v>
      </c>
      <c r="K62" s="103">
        <f>dtbasepres[[#This Row],[Cout global ]]-dtbasepres[[#This Row],[Cout payé par la mutuelle ]]</f>
        <v>2291666.67</v>
      </c>
      <c r="L62" s="76" t="s">
        <v>280</v>
      </c>
    </row>
    <row r="63" spans="1:12" ht="15.5" x14ac:dyDescent="0.35">
      <c r="A63" s="76">
        <v>2022</v>
      </c>
      <c r="B63" s="76" t="s">
        <v>151</v>
      </c>
      <c r="C63" s="76" t="s">
        <v>283</v>
      </c>
      <c r="D63" s="97" t="s">
        <v>349</v>
      </c>
      <c r="E63" s="76" t="s">
        <v>346</v>
      </c>
      <c r="F63" s="77">
        <v>41860</v>
      </c>
      <c r="G63" s="77">
        <v>42683</v>
      </c>
      <c r="H63" s="76"/>
      <c r="I63" s="103">
        <v>3600000</v>
      </c>
      <c r="J63" s="103">
        <v>900000</v>
      </c>
      <c r="K63" s="103">
        <f>dtbasepres[[#This Row],[Cout global ]]-dtbasepres[[#This Row],[Cout payé par la mutuelle ]]</f>
        <v>2700000</v>
      </c>
      <c r="L63" s="76" t="s">
        <v>281</v>
      </c>
    </row>
    <row r="64" spans="1:12" ht="15.5" x14ac:dyDescent="0.35">
      <c r="A64" s="76">
        <v>2021</v>
      </c>
      <c r="B64" s="76" t="s">
        <v>170</v>
      </c>
      <c r="C64" s="76" t="s">
        <v>285</v>
      </c>
      <c r="D64" s="97" t="s">
        <v>350</v>
      </c>
      <c r="E64" s="76" t="s">
        <v>347</v>
      </c>
      <c r="F64" s="77">
        <v>42298</v>
      </c>
      <c r="G64" s="77">
        <v>43121</v>
      </c>
      <c r="H64" s="76"/>
      <c r="I64" s="103">
        <v>2850000</v>
      </c>
      <c r="J64" s="103">
        <v>712500</v>
      </c>
      <c r="K64" s="103">
        <f>dtbasepres[[#This Row],[Cout global ]]-dtbasepres[[#This Row],[Cout payé par la mutuelle ]]</f>
        <v>2137500</v>
      </c>
      <c r="L64" s="76" t="s">
        <v>281</v>
      </c>
    </row>
    <row r="65" spans="1:12" ht="15.5" x14ac:dyDescent="0.35">
      <c r="A65" s="76"/>
      <c r="B65" s="76"/>
      <c r="C65" s="76"/>
      <c r="D65" s="97"/>
      <c r="E65" s="76"/>
      <c r="F65" s="77"/>
      <c r="G65" s="77"/>
      <c r="H65" s="76"/>
      <c r="I65" s="103"/>
      <c r="J65" s="103"/>
      <c r="K65" s="103"/>
      <c r="L65" s="76"/>
    </row>
  </sheetData>
  <conditionalFormatting sqref="A1:A1048576">
    <cfRule type="iconSet" priority="65">
      <iconSet iconSet="4TrafficLights">
        <cfvo type="percent" val="0"/>
        <cfvo type="num" val="2020"/>
        <cfvo type="num" val="2021"/>
        <cfvo type="num" val="2022"/>
      </iconSet>
    </cfRule>
  </conditionalFormatting>
  <conditionalFormatting sqref="C1:C1048576">
    <cfRule type="containsText" dxfId="4" priority="63" operator="containsText" text="8. hospitalisation">
      <formula>NOT(ISERROR(SEARCH("8. hospitalisation",C1)))</formula>
    </cfRule>
  </conditionalFormatting>
  <conditionalFormatting sqref="H5">
    <cfRule type="containsText" dxfId="3" priority="62" operator="containsText" text="8. hospitalisation">
      <formula>NOT(ISERROR(SEARCH("8. hospitalisation",H5)))</formula>
    </cfRule>
  </conditionalFormatting>
  <conditionalFormatting sqref="F2">
    <cfRule type="containsText" dxfId="2" priority="60" operator="containsText" text="8. hospitalisation">
      <formula>NOT(ISERROR(SEARCH("8. hospitalisation",F2)))</formula>
    </cfRule>
  </conditionalFormatting>
  <conditionalFormatting sqref="P5">
    <cfRule type="iconSet" priority="3">
      <iconSet iconSet="4TrafficLights">
        <cfvo type="percent" val="0"/>
        <cfvo type="num" val="2020"/>
        <cfvo type="num" val="2021"/>
        <cfvo type="num" val="2022"/>
      </iconSet>
    </cfRule>
  </conditionalFormatting>
  <conditionalFormatting sqref="R5">
    <cfRule type="containsText" dxfId="1" priority="2" operator="containsText" text="8. hospitalisation">
      <formula>NOT(ISERROR(SEARCH("8. hospitalisation",R5)))</formula>
    </cfRule>
  </conditionalFormatting>
  <conditionalFormatting sqref="W5">
    <cfRule type="containsText" dxfId="0" priority="1" operator="containsText" text="8. hospitalisation">
      <formula>NOT(ISERROR(SEARCH("8. hospitalisation",W5)))</formula>
    </cfRule>
  </conditionalFormatting>
  <dataValidations count="1">
    <dataValidation type="list" allowBlank="1" showInputMessage="1" showErrorMessage="1" sqref="F3">
      <formula1>"1. consultation,  2. analyse,  3. radiologie, 4. médicament(pharmacie privée),5. médicaments (formation sanitaire) , 6. acte médical,8. hospitalisation,9.Autres"</formula1>
    </dataValidation>
  </dataValidation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1"/>
  </sheetPr>
  <dimension ref="A1:K23"/>
  <sheetViews>
    <sheetView workbookViewId="0">
      <selection activeCell="A18" sqref="A18"/>
    </sheetView>
  </sheetViews>
  <sheetFormatPr baseColWidth="10" defaultRowHeight="14.5" x14ac:dyDescent="0.35"/>
  <cols>
    <col min="1" max="1" width="83.08984375" customWidth="1"/>
    <col min="8" max="8" width="22.08984375" customWidth="1"/>
    <col min="9" max="9" width="11.1796875" bestFit="1" customWidth="1"/>
  </cols>
  <sheetData>
    <row r="1" spans="1:11" s="3" customFormat="1" x14ac:dyDescent="0.35">
      <c r="A1" s="4" t="s">
        <v>78</v>
      </c>
    </row>
    <row r="2" spans="1:11" s="9" customFormat="1" ht="15.5" x14ac:dyDescent="0.35">
      <c r="A2" s="8" t="s">
        <v>61</v>
      </c>
    </row>
    <row r="3" spans="1:11" s="9" customFormat="1" ht="15.5" x14ac:dyDescent="0.35">
      <c r="A3" s="8" t="s">
        <v>63</v>
      </c>
    </row>
    <row r="4" spans="1:11" s="9" customFormat="1" ht="15.5" x14ac:dyDescent="0.35">
      <c r="A4" s="8" t="s">
        <v>62</v>
      </c>
    </row>
    <row r="5" spans="1:11" s="9" customFormat="1" ht="15.5" x14ac:dyDescent="0.35">
      <c r="A5" s="8" t="s">
        <v>64</v>
      </c>
      <c r="D5" s="66"/>
      <c r="E5" s="66"/>
      <c r="F5" s="66"/>
      <c r="G5" s="66"/>
      <c r="H5" s="66"/>
      <c r="I5" s="66"/>
      <c r="J5" s="66"/>
      <c r="K5" s="66"/>
    </row>
    <row r="6" spans="1:11" s="9" customFormat="1" ht="17" customHeight="1" x14ac:dyDescent="0.35">
      <c r="A6" s="8" t="s">
        <v>65</v>
      </c>
      <c r="F6" s="67" t="s">
        <v>103</v>
      </c>
    </row>
    <row r="7" spans="1:11" s="9" customFormat="1" ht="15.5" x14ac:dyDescent="0.35">
      <c r="A7" s="8" t="s">
        <v>66</v>
      </c>
    </row>
    <row r="8" spans="1:11" s="9" customFormat="1" ht="15.5" x14ac:dyDescent="0.35">
      <c r="A8" s="8" t="s">
        <v>67</v>
      </c>
    </row>
    <row r="9" spans="1:11" s="9" customFormat="1" ht="15.5" x14ac:dyDescent="0.35">
      <c r="A9" s="8" t="s">
        <v>68</v>
      </c>
    </row>
    <row r="10" spans="1:11" s="9" customFormat="1" ht="15.5" x14ac:dyDescent="0.35">
      <c r="A10" s="8" t="s">
        <v>69</v>
      </c>
    </row>
    <row r="11" spans="1:11" s="9" customFormat="1" ht="15.5" x14ac:dyDescent="0.35">
      <c r="A11" s="8" t="s">
        <v>70</v>
      </c>
    </row>
    <row r="12" spans="1:11" s="9" customFormat="1" ht="15.5" x14ac:dyDescent="0.35">
      <c r="A12" s="8" t="s">
        <v>71</v>
      </c>
    </row>
    <row r="13" spans="1:11" s="9" customFormat="1" ht="15.5" x14ac:dyDescent="0.35">
      <c r="A13" s="8" t="s">
        <v>72</v>
      </c>
    </row>
    <row r="14" spans="1:11" s="9" customFormat="1" ht="15.5" x14ac:dyDescent="0.35">
      <c r="A14" s="8" t="s">
        <v>73</v>
      </c>
    </row>
    <row r="15" spans="1:11" s="9" customFormat="1" ht="15.5" x14ac:dyDescent="0.35">
      <c r="A15" s="8" t="s">
        <v>74</v>
      </c>
    </row>
    <row r="16" spans="1:11" s="9" customFormat="1" ht="15.5" x14ac:dyDescent="0.35">
      <c r="A16" s="8"/>
    </row>
    <row r="17" spans="1:1" x14ac:dyDescent="0.35">
      <c r="A17" s="5"/>
    </row>
    <row r="18" spans="1:1" x14ac:dyDescent="0.35">
      <c r="A18" s="5"/>
    </row>
    <row r="19" spans="1:1" x14ac:dyDescent="0.35">
      <c r="A19" s="5"/>
    </row>
    <row r="20" spans="1:1" x14ac:dyDescent="0.35">
      <c r="A20" s="5"/>
    </row>
    <row r="21" spans="1:1" x14ac:dyDescent="0.35">
      <c r="A21" s="5"/>
    </row>
    <row r="22" spans="1:1" x14ac:dyDescent="0.35">
      <c r="A22" s="5"/>
    </row>
    <row r="23" spans="1:1" x14ac:dyDescent="0.35">
      <c r="A23" s="5"/>
    </row>
  </sheetData>
  <pageMargins left="0.7" right="0.7" top="0.75" bottom="0.75" header="0.3" footer="0.3"/>
  <legacy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theme="4" tint="0.59999389629810485"/>
  </sheetPr>
  <dimension ref="A1:P17"/>
  <sheetViews>
    <sheetView topLeftCell="B1" zoomScale="86" workbookViewId="0">
      <selection activeCell="C2" sqref="C2:P2"/>
    </sheetView>
  </sheetViews>
  <sheetFormatPr baseColWidth="10" defaultRowHeight="14.5" x14ac:dyDescent="0.35"/>
  <cols>
    <col min="1" max="1" width="18.08984375" customWidth="1"/>
    <col min="2" max="2" width="13" style="2" customWidth="1"/>
    <col min="3" max="3" width="16.453125" style="2" customWidth="1"/>
    <col min="4" max="4" width="10.90625" style="2"/>
    <col min="5" max="5" width="12.7265625" style="2" customWidth="1"/>
    <col min="6" max="6" width="13.36328125" style="2" customWidth="1"/>
    <col min="7" max="7" width="11.26953125" style="2" customWidth="1"/>
    <col min="8" max="8" width="12.7265625" style="2" customWidth="1"/>
    <col min="9" max="9" width="17.54296875" style="2" customWidth="1"/>
    <col min="10" max="10" width="12.81640625" style="2" customWidth="1"/>
    <col min="11" max="11" width="10.90625" style="2"/>
    <col min="12" max="12" width="14.7265625" style="2" customWidth="1"/>
    <col min="13" max="13" width="10.90625" style="2"/>
    <col min="14" max="14" width="11.90625" style="2" customWidth="1"/>
    <col min="15" max="15" width="10.90625" style="2"/>
    <col min="16" max="16" width="11.54296875" style="2" customWidth="1"/>
    <col min="17" max="16384" width="10.90625" style="2"/>
  </cols>
  <sheetData>
    <row r="1" spans="1:16" ht="15" thickBot="1" x14ac:dyDescent="0.4">
      <c r="A1" s="2" t="s">
        <v>12</v>
      </c>
      <c r="B1" s="16"/>
    </row>
    <row r="2" spans="1:16" ht="15" thickBot="1" x14ac:dyDescent="0.4">
      <c r="A2" s="2">
        <v>2018</v>
      </c>
      <c r="B2" s="16"/>
      <c r="C2" s="14" t="s">
        <v>0</v>
      </c>
      <c r="D2" s="14" t="s">
        <v>1</v>
      </c>
      <c r="E2" s="14" t="s">
        <v>2</v>
      </c>
      <c r="F2" s="14" t="s">
        <v>3</v>
      </c>
      <c r="G2" s="14" t="s">
        <v>5</v>
      </c>
      <c r="H2" s="14" t="s">
        <v>4</v>
      </c>
      <c r="I2" s="14" t="s">
        <v>6</v>
      </c>
      <c r="J2" s="14" t="s">
        <v>7</v>
      </c>
      <c r="K2" s="14" t="s">
        <v>8</v>
      </c>
      <c r="L2" s="14" t="s">
        <v>9</v>
      </c>
      <c r="M2" s="14" t="s">
        <v>10</v>
      </c>
      <c r="N2" s="14" t="s">
        <v>77</v>
      </c>
      <c r="O2" s="14" t="s">
        <v>76</v>
      </c>
      <c r="P2" s="14" t="s">
        <v>11</v>
      </c>
    </row>
    <row r="3" spans="1:16" x14ac:dyDescent="0.35">
      <c r="A3" s="2">
        <v>2019</v>
      </c>
      <c r="B3" s="17"/>
      <c r="C3" s="15" t="s">
        <v>0</v>
      </c>
      <c r="D3" s="15" t="s">
        <v>17</v>
      </c>
      <c r="E3" s="15" t="s">
        <v>2</v>
      </c>
      <c r="F3" s="15" t="s">
        <v>3</v>
      </c>
      <c r="G3" s="15" t="s">
        <v>5</v>
      </c>
      <c r="H3" s="15" t="s">
        <v>4</v>
      </c>
      <c r="I3" s="15" t="s">
        <v>6</v>
      </c>
      <c r="J3" s="15" t="s">
        <v>30</v>
      </c>
      <c r="K3" s="15" t="s">
        <v>32</v>
      </c>
      <c r="L3" s="15" t="s">
        <v>40</v>
      </c>
      <c r="M3" s="15" t="s">
        <v>43</v>
      </c>
      <c r="N3" s="15" t="s">
        <v>35</v>
      </c>
      <c r="O3" s="15" t="s">
        <v>37</v>
      </c>
      <c r="P3" s="15" t="s">
        <v>46</v>
      </c>
    </row>
    <row r="4" spans="1:16" x14ac:dyDescent="0.35">
      <c r="A4" s="2">
        <v>2020</v>
      </c>
      <c r="B4" s="17"/>
      <c r="C4" s="12" t="s">
        <v>13</v>
      </c>
      <c r="D4" s="12" t="s">
        <v>1</v>
      </c>
      <c r="E4" s="12" t="s">
        <v>19</v>
      </c>
      <c r="F4" s="12" t="s">
        <v>21</v>
      </c>
      <c r="G4" s="12" t="s">
        <v>26</v>
      </c>
      <c r="H4" s="12" t="s">
        <v>24</v>
      </c>
      <c r="I4" s="12" t="s">
        <v>28</v>
      </c>
      <c r="J4" s="12" t="s">
        <v>31</v>
      </c>
      <c r="K4" s="12" t="s">
        <v>33</v>
      </c>
      <c r="L4" s="12" t="s">
        <v>9</v>
      </c>
      <c r="M4" s="12" t="s">
        <v>44</v>
      </c>
      <c r="N4" s="12" t="s">
        <v>36</v>
      </c>
      <c r="O4" s="12" t="s">
        <v>38</v>
      </c>
      <c r="P4" s="12" t="s">
        <v>47</v>
      </c>
    </row>
    <row r="5" spans="1:16" ht="15.5" x14ac:dyDescent="0.35">
      <c r="A5" s="2">
        <v>2021</v>
      </c>
      <c r="B5" s="17"/>
      <c r="C5" s="11" t="s">
        <v>14</v>
      </c>
      <c r="D5" s="11" t="s">
        <v>18</v>
      </c>
      <c r="E5" s="11" t="s">
        <v>20</v>
      </c>
      <c r="F5" s="11" t="s">
        <v>22</v>
      </c>
      <c r="G5" s="11" t="s">
        <v>27</v>
      </c>
      <c r="H5" s="11" t="s">
        <v>25</v>
      </c>
      <c r="I5" s="11" t="s">
        <v>29</v>
      </c>
      <c r="J5" s="11" t="s">
        <v>7</v>
      </c>
      <c r="K5" s="11" t="s">
        <v>34</v>
      </c>
      <c r="L5" s="11" t="s">
        <v>41</v>
      </c>
      <c r="M5" s="11" t="s">
        <v>45</v>
      </c>
      <c r="N5" s="11" t="s">
        <v>77</v>
      </c>
      <c r="O5" s="11" t="s">
        <v>39</v>
      </c>
      <c r="P5" s="11" t="s">
        <v>11</v>
      </c>
    </row>
    <row r="6" spans="1:16" x14ac:dyDescent="0.35">
      <c r="A6" s="2">
        <v>2022</v>
      </c>
      <c r="B6" s="17"/>
      <c r="C6" s="12" t="s">
        <v>15</v>
      </c>
      <c r="D6" s="12"/>
      <c r="E6" s="12"/>
      <c r="F6" s="12" t="s">
        <v>23</v>
      </c>
      <c r="G6" s="12"/>
      <c r="H6" s="12"/>
      <c r="I6" s="12"/>
      <c r="J6" s="12"/>
      <c r="K6" s="12"/>
      <c r="L6" s="12" t="s">
        <v>42</v>
      </c>
      <c r="M6" s="12"/>
      <c r="N6" s="12"/>
      <c r="O6" s="12"/>
      <c r="P6" s="12"/>
    </row>
    <row r="7" spans="1:16" ht="15" thickBot="1" x14ac:dyDescent="0.4">
      <c r="B7" s="17"/>
      <c r="C7" s="13" t="s">
        <v>16</v>
      </c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</row>
    <row r="8" spans="1:16" x14ac:dyDescent="0.35">
      <c r="A8" t="s">
        <v>83</v>
      </c>
      <c r="B8" s="17"/>
    </row>
    <row r="9" spans="1:16" ht="15.5" customHeight="1" x14ac:dyDescent="0.35">
      <c r="A9">
        <v>2017</v>
      </c>
      <c r="B9" s="17"/>
      <c r="C9" s="10"/>
      <c r="D9" s="10"/>
      <c r="E9" s="10"/>
      <c r="F9" s="10"/>
      <c r="G9" s="10"/>
      <c r="H9" s="10"/>
    </row>
    <row r="10" spans="1:16" x14ac:dyDescent="0.35">
      <c r="A10" s="1">
        <v>2018</v>
      </c>
      <c r="B10" s="17"/>
    </row>
    <row r="11" spans="1:16" x14ac:dyDescent="0.35">
      <c r="A11" s="1">
        <v>2019</v>
      </c>
      <c r="B11" s="17"/>
    </row>
    <row r="12" spans="1:16" x14ac:dyDescent="0.35">
      <c r="A12" s="1">
        <v>2020</v>
      </c>
      <c r="B12" s="17"/>
    </row>
    <row r="13" spans="1:16" x14ac:dyDescent="0.35">
      <c r="A13" s="1">
        <v>2021</v>
      </c>
      <c r="B13" s="17"/>
    </row>
    <row r="14" spans="1:16" x14ac:dyDescent="0.35">
      <c r="A14" s="1">
        <v>2022</v>
      </c>
      <c r="B14" s="17"/>
    </row>
    <row r="15" spans="1:16" x14ac:dyDescent="0.35">
      <c r="B15" s="17"/>
    </row>
    <row r="16" spans="1:16" x14ac:dyDescent="0.35">
      <c r="B16" s="17"/>
    </row>
    <row r="17" spans="2:2" x14ac:dyDescent="0.35">
      <c r="B17" s="16"/>
    </row>
  </sheetData>
  <dataConsolidate/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3:C26"/>
  <sheetViews>
    <sheetView topLeftCell="C1" workbookViewId="0">
      <selection activeCell="L25" sqref="L25"/>
    </sheetView>
  </sheetViews>
  <sheetFormatPr baseColWidth="10" defaultRowHeight="14.5" x14ac:dyDescent="0.35"/>
  <cols>
    <col min="1" max="2" width="19.54296875" customWidth="1"/>
    <col min="3" max="3" width="31" customWidth="1"/>
  </cols>
  <sheetData>
    <row r="3" spans="1:3" x14ac:dyDescent="0.35">
      <c r="A3" s="105" t="s">
        <v>363</v>
      </c>
      <c r="B3" t="s">
        <v>366</v>
      </c>
    </row>
    <row r="4" spans="1:3" x14ac:dyDescent="0.35">
      <c r="A4" s="106">
        <v>2018</v>
      </c>
      <c r="B4" s="107">
        <v>2355000</v>
      </c>
    </row>
    <row r="5" spans="1:3" x14ac:dyDescent="0.35">
      <c r="A5" s="106">
        <v>2019</v>
      </c>
      <c r="B5" s="107">
        <v>1850000</v>
      </c>
    </row>
    <row r="6" spans="1:3" x14ac:dyDescent="0.35">
      <c r="A6" s="106">
        <v>2020</v>
      </c>
      <c r="B6" s="107">
        <v>1495000</v>
      </c>
    </row>
    <row r="7" spans="1:3" x14ac:dyDescent="0.35">
      <c r="A7" s="106">
        <v>2021</v>
      </c>
      <c r="B7" s="107">
        <v>1895000</v>
      </c>
    </row>
    <row r="8" spans="1:3" x14ac:dyDescent="0.35">
      <c r="A8" s="106">
        <v>2022</v>
      </c>
      <c r="B8" s="107">
        <v>1015000</v>
      </c>
    </row>
    <row r="9" spans="1:3" x14ac:dyDescent="0.35">
      <c r="A9" s="106" t="s">
        <v>364</v>
      </c>
      <c r="B9" s="107"/>
    </row>
    <row r="10" spans="1:3" x14ac:dyDescent="0.35">
      <c r="A10" s="106" t="s">
        <v>365</v>
      </c>
      <c r="B10" s="107">
        <v>8610000</v>
      </c>
    </row>
    <row r="13" spans="1:3" x14ac:dyDescent="0.35">
      <c r="B13" s="105" t="s">
        <v>363</v>
      </c>
      <c r="C13" t="s">
        <v>366</v>
      </c>
    </row>
    <row r="14" spans="1:3" x14ac:dyDescent="0.35">
      <c r="B14" s="106" t="s">
        <v>1</v>
      </c>
      <c r="C14" s="107">
        <v>905000</v>
      </c>
    </row>
    <row r="15" spans="1:3" x14ac:dyDescent="0.35">
      <c r="B15" s="106" t="s">
        <v>2</v>
      </c>
      <c r="C15" s="107">
        <v>775000</v>
      </c>
    </row>
    <row r="16" spans="1:3" x14ac:dyDescent="0.35">
      <c r="B16" s="106" t="s">
        <v>4</v>
      </c>
      <c r="C16" s="107">
        <v>430000</v>
      </c>
    </row>
    <row r="17" spans="2:3" x14ac:dyDescent="0.35">
      <c r="B17" s="106" t="s">
        <v>5</v>
      </c>
      <c r="C17" s="107">
        <v>830000</v>
      </c>
    </row>
    <row r="18" spans="2:3" x14ac:dyDescent="0.35">
      <c r="B18" s="106" t="s">
        <v>6</v>
      </c>
      <c r="C18" s="107">
        <v>995000</v>
      </c>
    </row>
    <row r="19" spans="2:3" x14ac:dyDescent="0.35">
      <c r="B19" s="106" t="s">
        <v>7</v>
      </c>
      <c r="C19" s="107">
        <v>935000</v>
      </c>
    </row>
    <row r="20" spans="2:3" x14ac:dyDescent="0.35">
      <c r="B20" s="106" t="s">
        <v>8</v>
      </c>
      <c r="C20" s="107">
        <v>915000</v>
      </c>
    </row>
    <row r="21" spans="2:3" x14ac:dyDescent="0.35">
      <c r="B21" s="106" t="s">
        <v>77</v>
      </c>
      <c r="C21" s="107">
        <v>375000</v>
      </c>
    </row>
    <row r="22" spans="2:3" x14ac:dyDescent="0.35">
      <c r="B22" s="106" t="s">
        <v>9</v>
      </c>
      <c r="C22" s="107">
        <v>605000</v>
      </c>
    </row>
    <row r="23" spans="2:3" x14ac:dyDescent="0.35">
      <c r="B23" s="106" t="s">
        <v>10</v>
      </c>
      <c r="C23" s="107">
        <v>920000</v>
      </c>
    </row>
    <row r="24" spans="2:3" x14ac:dyDescent="0.35">
      <c r="B24" s="106" t="s">
        <v>11</v>
      </c>
      <c r="C24" s="107">
        <v>925000</v>
      </c>
    </row>
    <row r="25" spans="2:3" x14ac:dyDescent="0.35">
      <c r="B25" s="106" t="s">
        <v>364</v>
      </c>
      <c r="C25" s="107"/>
    </row>
    <row r="26" spans="2:3" x14ac:dyDescent="0.35">
      <c r="B26" s="106" t="s">
        <v>365</v>
      </c>
      <c r="C26" s="107">
        <v>8610000</v>
      </c>
    </row>
  </sheetData>
  <pageMargins left="0.7" right="0.7" top="0.75" bottom="0.75" header="0.3" footer="0.3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5:D12"/>
  <sheetViews>
    <sheetView showGridLines="0" showRowColHeaders="0" workbookViewId="0">
      <selection activeCell="H10" sqref="H10"/>
    </sheetView>
  </sheetViews>
  <sheetFormatPr baseColWidth="10" defaultRowHeight="15.5" x14ac:dyDescent="0.35"/>
  <cols>
    <col min="1" max="16384" width="10.90625" style="108"/>
  </cols>
  <sheetData>
    <row r="5" spans="1:4" x14ac:dyDescent="0.35">
      <c r="B5" s="108" t="s">
        <v>367</v>
      </c>
    </row>
    <row r="8" spans="1:4" x14ac:dyDescent="0.35">
      <c r="A8" s="109">
        <f>GETPIVOTDATA("Montant de la cotisation",'traitement '!$A$3)</f>
        <v>8610000</v>
      </c>
      <c r="B8" s="109"/>
      <c r="C8" s="109"/>
      <c r="D8" s="109"/>
    </row>
    <row r="9" spans="1:4" x14ac:dyDescent="0.35">
      <c r="A9" s="109"/>
      <c r="B9" s="109"/>
      <c r="C9" s="109"/>
      <c r="D9" s="109"/>
    </row>
    <row r="10" spans="1:4" x14ac:dyDescent="0.35">
      <c r="A10" s="109"/>
      <c r="B10" s="109"/>
      <c r="C10" s="109"/>
      <c r="D10" s="109"/>
    </row>
    <row r="11" spans="1:4" x14ac:dyDescent="0.35">
      <c r="A11" s="109"/>
      <c r="B11" s="109"/>
      <c r="C11" s="109"/>
      <c r="D11" s="109"/>
    </row>
    <row r="12" spans="1:4" x14ac:dyDescent="0.35">
      <c r="A12" s="109"/>
      <c r="B12" s="109"/>
      <c r="C12" s="109"/>
      <c r="D12" s="109"/>
    </row>
  </sheetData>
  <mergeCells count="1">
    <mergeCell ref="A8:D12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54</vt:i4>
      </vt:variant>
    </vt:vector>
  </HeadingPairs>
  <TitlesOfParts>
    <vt:vector size="62" baseType="lpstr">
      <vt:lpstr>beneficiary_interface</vt:lpstr>
      <vt:lpstr>service_interface</vt:lpstr>
      <vt:lpstr>beneficiary_database</vt:lpstr>
      <vt:lpstr>service_database</vt:lpstr>
      <vt:lpstr>Mutual_list</vt:lpstr>
      <vt:lpstr>sheet </vt:lpstr>
      <vt:lpstr>traitement </vt:lpstr>
      <vt:lpstr>tableau de bord</vt:lpstr>
      <vt:lpstr>beneficiary_database</vt:lpstr>
      <vt:lpstr>cell_1</vt:lpstr>
      <vt:lpstr>cell_10</vt:lpstr>
      <vt:lpstr>cell_11</vt:lpstr>
      <vt:lpstr>cell_12</vt:lpstr>
      <vt:lpstr>cell_13</vt:lpstr>
      <vt:lpstr>cell_2</vt:lpstr>
      <vt:lpstr>cell_3</vt:lpstr>
      <vt:lpstr>cell_4</vt:lpstr>
      <vt:lpstr>cell_5</vt:lpstr>
      <vt:lpstr>cell_6</vt:lpstr>
      <vt:lpstr>cell_7</vt:lpstr>
      <vt:lpstr>cell_8</vt:lpstr>
      <vt:lpstr>cell_9</vt:lpstr>
      <vt:lpstr>cell1</vt:lpstr>
      <vt:lpstr>cell10</vt:lpstr>
      <vt:lpstr>cell11</vt:lpstr>
      <vt:lpstr>cell12</vt:lpstr>
      <vt:lpstr>cell13</vt:lpstr>
      <vt:lpstr>cell14</vt:lpstr>
      <vt:lpstr>cell15</vt:lpstr>
      <vt:lpstr>cell16</vt:lpstr>
      <vt:lpstr>cell17</vt:lpstr>
      <vt:lpstr>cell18</vt:lpstr>
      <vt:lpstr>cell19</vt:lpstr>
      <vt:lpstr>cell2</vt:lpstr>
      <vt:lpstr>cell20</vt:lpstr>
      <vt:lpstr>cell21</vt:lpstr>
      <vt:lpstr>cell3</vt:lpstr>
      <vt:lpstr>cell4</vt:lpstr>
      <vt:lpstr>cell5</vt:lpstr>
      <vt:lpstr>cell6</vt:lpstr>
      <vt:lpstr>cell7</vt:lpstr>
      <vt:lpstr>cell8</vt:lpstr>
      <vt:lpstr>cell9</vt:lpstr>
      <vt:lpstr>Dakar</vt:lpstr>
      <vt:lpstr>Diourbel</vt:lpstr>
      <vt:lpstr>service_database!Extraire</vt:lpstr>
      <vt:lpstr>Fatick</vt:lpstr>
      <vt:lpstr>ident</vt:lpstr>
      <vt:lpstr>Kaffrine</vt:lpstr>
      <vt:lpstr>Kaolack</vt:lpstr>
      <vt:lpstr>Kédougou</vt:lpstr>
      <vt:lpstr>Kolda</vt:lpstr>
      <vt:lpstr>Louga</vt:lpstr>
      <vt:lpstr>Matam</vt:lpstr>
      <vt:lpstr>Mutuelles</vt:lpstr>
      <vt:lpstr>region</vt:lpstr>
      <vt:lpstr>Saint_Louis</vt:lpstr>
      <vt:lpstr>SaintLouis</vt:lpstr>
      <vt:lpstr>Sédhiou</vt:lpstr>
      <vt:lpstr>Tambacounda</vt:lpstr>
      <vt:lpstr>Thiès</vt:lpstr>
      <vt:lpstr>Ziguinchor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cp:lastPrinted>2024-04-12T22:31:09Z</cp:lastPrinted>
  <dcterms:created xsi:type="dcterms:W3CDTF">2024-04-09T14:09:49Z</dcterms:created>
  <dcterms:modified xsi:type="dcterms:W3CDTF">2024-04-15T23:50:21Z</dcterms:modified>
</cp:coreProperties>
</file>